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326d444e427459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Gates" sheetId="1" r:id="R368e5207fbbd43f5"/>
    <x:sheet xmlns:r="http://schemas.openxmlformats.org/officeDocument/2006/relationships" name="Tasks" sheetId="2" r:id="R7ef1724e192b456e"/>
    <x:sheet xmlns:r="http://schemas.openxmlformats.org/officeDocument/2006/relationships" name="Acceptance" sheetId="3" r:id="Ra5a6848dae214409"/>
    <x:sheet xmlns:r="http://schemas.openxmlformats.org/officeDocument/2006/relationships" name="Capacity" sheetId="4" r:id="R72ad9331fc8b4190"/>
    <x:sheet xmlns:r="http://schemas.openxmlformats.org/officeDocument/2006/relationships" name="Decisions" sheetId="5" r:id="R09cf5929b4ac4b51"/>
    <x:sheet xmlns:r="http://schemas.openxmlformats.org/officeDocument/2006/relationships" name="Traceability" sheetId="6" r:id="R871fef6c3c9544a8"/>
    <x:sheet xmlns:r="http://schemas.openxmlformats.org/officeDocument/2006/relationships" name="Functional Specs" sheetId="7" r:id="Rdc82c9bd57e84c82"/>
    <x:sheet xmlns:r="http://schemas.openxmlformats.org/officeDocument/2006/relationships" name="Technical Specs" sheetId="8" r:id="R46a9366527bd496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"/>
  </x:numFmts>
  <x:fonts count="10">
    <x:font>
      <x:sz val="11"/>
      <x:name val="Carlito"/>
    </x:font>
    <x:font>
      <x:sz val="11"/>
      <x:color rgb="FF202B33"/>
      <x:name val="Arial"/>
    </x:font>
    <x:font>
      <x:b/>
      <x:sz val="16"/>
      <x:color rgb="FF202B33"/>
      <x:name val="Arial"/>
    </x:font>
    <x:font>
      <x:i/>
      <x:sz val="10"/>
      <x:color rgb="FF52616B"/>
      <x:name val="Arial"/>
    </x:font>
    <x:font>
      <x:b/>
      <x:sz val="11"/>
      <x:color rgb="FFFFFFFF"/>
      <x:name val="Arial"/>
    </x:font>
    <x:font>
      <x:b/>
      <x:sz val="14"/>
      <x:name val="Carlito"/>
    </x:font>
    <x:font>
      <x:b/>
      <x:sz val="11"/>
      <x:color rgb="FFFFFFFF"/>
      <x:name val="Carlito"/>
    </x:font>
    <x:font>
      <x:sz val="11"/>
      <x:color rgb="FF253746"/>
      <x:name val="Arial"/>
    </x:font>
    <x:font>
      <x:b/>
      <x:sz val="16"/>
      <x:color rgb="FF253746"/>
      <x:name val="Arial"/>
    </x:font>
    <x:font>
      <x:i/>
      <x:sz val="10"/>
      <x:color rgb="FF526571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43746"/>
      </x:patternFill>
    </x:fill>
    <x:fill>
      <x:patternFill patternType="solid">
        <x:fgColor rgb="FFF1F4F6"/>
      </x:patternFill>
    </x:fill>
    <x:fill>
      <x:patternFill patternType="solid">
        <x:fgColor rgb="FFFFF2CC"/>
      </x:patternFill>
    </x:fill>
    <x:fill>
      <x:patternFill patternType="solid">
        <x:fgColor rgb="FF253B49"/>
      </x:patternFill>
    </x:fill>
    <x:fill>
      <x:patternFill patternType="solid">
        <x:fgColor rgb="FFF1F4F6"/>
      </x:patternFill>
    </x:fill>
    <x:fill>
      <x:patternFill patternType="solid">
        <x:fgColor rgb="FFFFFFFF"/>
      </x:patternFill>
    </x:fill>
  </x:fills>
  <x:borders count="1">
    <x:border/>
  </x:borders>
  <x:cellStyleXfs count="1">
    <x:xf numFmtId="0" fontId="0" fillId="0" borderId="0"/>
  </x:cellStyleXfs>
  <x:cellXfs count="3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 wrapText="1"/>
    </x:xf>
    <x:xf numFmtId="0" fontId="4" fillId="2" borderId="0" xfId="0" applyNumberFormat="1" applyFont="1" applyFill="1" applyBorder="1" applyAlignment="1">
      <x:alignment vertical="top" wrapText="1"/>
    </x:xf>
    <x:xf numFmtId="0" fontId="4" fillId="2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vertical="top" wrapText="1"/>
    </x:xf>
    <x:xf numFmtId="200" fontId="1" fillId="3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vertical="top" wrapText="1"/>
    </x:xf>
    <x:xf numFmtId="200" fontId="1" fillId="4" borderId="0" xfId="0" applyNumberFormat="1" applyFont="1" applyFill="1" applyBorder="1" applyAlignment="1">
      <x:alignment vertical="top" wrapText="1"/>
    </x:xf>
    <x:xf numFmtId="0" fontId="5" fillId="0" borderId="0" xfId="0" applyNumberFormat="1" applyFont="1" applyFill="1" applyBorder="1"/>
    <x:xf numFmtId="0" fontId="0" fillId="2" borderId="0" xfId="0" applyNumberFormat="1" applyFont="1" applyFill="1" applyBorder="1"/>
    <x:xf numFmtId="0" fontId="6" fillId="2" borderId="0" xfId="0" applyNumberFormat="1" applyFont="1" applyFill="1" applyBorder="1"/>
    <x:xf numFmtId="0" fontId="7" fillId="0" borderId="0" xfId="0" applyNumberFormat="1" applyFont="1" applyFill="1" applyBorder="1"/>
    <x:xf numFmtId="0" fontId="8" fillId="0" borderId="0" xfId="0" applyNumberFormat="1" applyFont="1" applyFill="1" applyBorder="1"/>
    <x:xf numFmtId="0" fontId="9" fillId="0" borderId="0" xfId="0" applyNumberFormat="1" applyFont="1" applyFill="1" applyBorder="1"/>
    <x:xf numFmtId="0" fontId="7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7" fillId="0" borderId="0" xfId="0" applyNumberFormat="1" applyFont="1" applyFill="1" applyBorder="1" applyAlignment="1">
      <x:alignment wrapText="1"/>
    </x:xf>
    <x:xf numFmtId="0" fontId="7" fillId="0" borderId="0" xfId="0" applyNumberFormat="1" applyFont="1" applyFill="1" applyBorder="1" applyAlignment="1">
      <x:alignment vertical="top" wrapText="1"/>
    </x:xf>
    <x:xf numFmtId="0" fontId="7" fillId="6" borderId="0" xfId="0" applyNumberFormat="1" applyFont="1" applyFill="1" applyBorder="1" applyAlignment="1">
      <x:alignment vertical="top" wrapText="1"/>
    </x:xf>
    <x:xf numFmtId="0" fontId="7" fillId="7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0" fillId="5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6">
    <x:dxf>
      <x:font>
        <x:b/>
        <x:color rgb="FFA02020"/>
      </x:font>
      <x:fill>
        <x:patternFill>
          <x:bgColor rgb="FFFDE9E7"/>
        </x:patternFill>
      </x:fill>
    </x:dxf>
    <x:dxf>
      <x:fill>
        <x:patternFill>
          <x:bgColor rgb="FFFDE9E7"/>
        </x:patternFill>
      </x:fill>
    </x:dxf>
    <x:dxf>
      <x:font>
        <x:b/>
        <x:color rgb="FFA02020"/>
      </x:font>
      <x:fill>
        <x:patternFill>
          <x:bgColor rgb="FFFDE9E7"/>
        </x:patternFill>
      </x:fill>
    </x:dxf>
    <x:dxf>
      <x:fill>
        <x:patternFill>
          <x:bgColor rgb="FFFDE9E7"/>
        </x:patternFill>
      </x:fill>
    </x:dxf>
    <x:dxf>
      <x:fill>
        <x:patternFill>
          <x:bgColor rgb="FFFDE9E7"/>
        </x:patternFill>
      </x:fill>
    </x:dxf>
    <x:dxf>
      <x:font>
        <x:b/>
        <x:color rgb="FFA02020"/>
      </x:font>
      <x:fill>
        <x:patternFill>
          <x:bgColor rgb="FFFDE9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045301f32814849" /><Relationship Type="http://schemas.openxmlformats.org/officeDocument/2006/relationships/theme" Target="/xl/theme/theme1.xml" Id="R9df810fba0fa4007" /><Relationship Type="http://schemas.openxmlformats.org/officeDocument/2006/relationships/sharedStrings" Target="/xl/sharedStrings.xml" Id="R61b951dd5703417c" /><Relationship Type="http://schemas.openxmlformats.org/officeDocument/2006/relationships/worksheet" Target="/xl/worksheets/sheet1.xml" Id="R368e5207fbbd43f5" /><Relationship Type="http://schemas.openxmlformats.org/officeDocument/2006/relationships/worksheet" Target="/xl/worksheets/sheet2.xml" Id="R7ef1724e192b456e" /><Relationship Type="http://schemas.openxmlformats.org/officeDocument/2006/relationships/worksheet" Target="/xl/worksheets/sheet3.xml" Id="Ra5a6848dae214409" /><Relationship Type="http://schemas.openxmlformats.org/officeDocument/2006/relationships/worksheet" Target="/xl/worksheets/sheet4.xml" Id="R72ad9331fc8b4190" /><Relationship Type="http://schemas.openxmlformats.org/officeDocument/2006/relationships/worksheet" Target="/xl/worksheets/sheet5.xml" Id="R09cf5929b4ac4b51" /><Relationship Type="http://schemas.openxmlformats.org/officeDocument/2006/relationships/worksheet" Target="/xl/worksheets/sheet6.xml" Id="R871fef6c3c9544a8" /><Relationship Type="http://schemas.openxmlformats.org/officeDocument/2006/relationships/worksheet" Target="/xl/worksheets/sheet7.xml" Id="Rdc82c9bd57e84c82" /><Relationship Type="http://schemas.openxmlformats.org/officeDocument/2006/relationships/worksheet" Target="/xl/worksheets/sheet8.xml" Id="R46a9366527bd496a" /></Relationships>
</file>

<file path=xl/tables/table1.xml><?xml version="1.0" encoding="utf-8"?>
<x:table xmlns:x="http://schemas.openxmlformats.org/spreadsheetml/2006/main" id="10" name="GatesTable" displayName="GatesTable" ref="A6:N14" headerRowCount="1" totalsRowCount="0" totalsRowShown="0">
  <x:tableColumns count="14">
    <x:tableColumn id="1" name="Gate"/>
    <x:tableColumn id="2" name="Day"/>
    <x:tableColumn id="3" name="Milestone"/>
    <x:tableColumn id="4" name="Demonstrate"/>
    <x:tableColumn id="5" name="Exit criteria"/>
    <x:tableColumn id="6" name="Required reviewers"/>
    <x:tableColumn id="7" name="Evidence pack"/>
    <x:tableColumn id="8" name="Outcome"/>
    <x:tableColumn id="9" name="Decision by / date"/>
    <x:tableColumn id="10" name="Evidence link"/>
    <x:tableColumn id="11" name="Tasks"/>
    <x:tableColumn id="12" name="Verified done"/>
    <x:tableColumn id="13" name="Functional spec IDs"/>
    <x:tableColumn id="14" name="Technical spec ID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9" name="TasksTable" displayName="TasksTable" ref="A6:R68" headerRowCount="1" totalsRowCount="0" totalsRowShown="0">
  <x:tableColumns count="18">
    <x:tableColumn id="1" name="ID"/>
    <x:tableColumn id="2" name="Week"/>
    <x:tableColumn id="3" name="Gate"/>
    <x:tableColumn id="4" name="Owner"/>
    <x:tableColumn id="5" name="Est. hours"/>
    <x:tableColumn id="6" name="Task"/>
    <x:tableColumn id="7" name="Dependencies"/>
    <x:tableColumn id="8" name="Requirements"/>
    <x:tableColumn id="9" name="Acceptance / evidence needed"/>
    <x:tableColumn id="10" name="Reviewer"/>
    <x:tableColumn id="11" name="Status"/>
    <x:tableColumn id="12" name="Evidence link"/>
    <x:tableColumn id="13" name="Review result"/>
    <x:tableColumn id="14" name="Actual hours"/>
    <x:tableColumn id="15" name="Issue / PR"/>
    <x:tableColumn id="16" name="Actual reviewer"/>
    <x:tableColumn id="17" name="Verified done"/>
    <x:tableColumn id="18" name="Detailed spec ID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AcceptanceTable" displayName="AcceptanceTable" ref="A6:K38" headerRowCount="1" totalsRowCount="0" totalsRowShown="0">
  <x:tableColumns count="11">
    <x:tableColumn id="1" name="Case"/>
    <x:tableColumn id="2" name="First gate"/>
    <x:tableColumn id="3" name="Requirements"/>
    <x:tableColumn id="4" name="Scenario"/>
    <x:tableColumn id="5" name="Test steps"/>
    <x:tableColumn id="6" name="Expected outcome"/>
    <x:tableColumn id="7" name="Reviewer"/>
    <x:tableColumn id="8" name="Result"/>
    <x:tableColumn id="9" name="Evidence link"/>
    <x:tableColumn id="10" name="Candidate SHA / date"/>
    <x:tableColumn id="11" name="Actual reviewer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CapacityTable" displayName="CapacityTable" ref="A6:F46" headerRowCount="1" totalsRowCount="0" totalsRowShown="0">
  <x:tableColumns count="6">
    <x:tableColumn id="1" name="Week"/>
    <x:tableColumn id="2" name="Role"/>
    <x:tableColumn id="3" name="Available h"/>
    <x:tableColumn id="4" name="Planned h"/>
    <x:tableColumn id="5" name="Remaining h"/>
    <x:tableColumn id="6" name="Action / decis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DecisionsTable" displayName="DecisionsTable" ref="A6:I18" headerRowCount="1" totalsRowCount="0" totalsRowShown="0">
  <x:tableColumns count="9">
    <x:tableColumn id="1" name="ID"/>
    <x:tableColumn id="2" name="Due gate"/>
    <x:tableColumn id="3" name="Owner"/>
    <x:tableColumn id="4" name="Decision needed"/>
    <x:tableColumn id="5" name="Proposed direction"/>
    <x:tableColumn id="6" name="Status"/>
    <x:tableColumn id="7" name="Decision / rationale"/>
    <x:tableColumn id="8" name="Approved by / date"/>
    <x:tableColumn id="9" name="Evidence link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TraceabilityTable" displayName="TraceabilityTable" ref="A6:E26" headerRowCount="1" totalsRowCount="0" totalsRowShown="0">
  <x:tableColumns count="5">
    <x:tableColumn id="1" name="Requirement"/>
    <x:tableColumn id="2" name="Required scope"/>
    <x:tableColumn id="3" name="Gates"/>
    <x:tableColumn id="4" name="Implementation tasks"/>
    <x:tableColumn id="5" name="Acceptance case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FunctionalSpecsTable" displayName="FunctionalSpecsTable" ref="A6:O50" headerRowCount="1" totalsRowCount="0" totalsRowShown="0">
  <x:tableColumns count="15">
    <x:tableColumn id="1" name="Spec ID"/>
    <x:tableColumn id="2" name="Gate"/>
    <x:tableColumn id="3" name="Day"/>
    <x:tableColumn id="4" name="Feature / screen"/>
    <x:tableColumn id="5" name="Users"/>
    <x:tableColumn id="6" name="Detailed functionality to build"/>
    <x:tableColumn id="7" name="Required data"/>
    <x:tableColumn id="8" name="Workflow rules and exceptions"/>
    <x:tableColumn id="9" name="Rural / semi-urban use"/>
    <x:tableColumn id="10" name="What to demonstrate"/>
    <x:tableColumn id="11" name="Linked task IDs"/>
    <x:tableColumn id="12" name="Acceptance cases"/>
    <x:tableColumn id="13" name="Delivery owner"/>
    <x:tableColumn id="14" name="Required approval / open decision"/>
    <x:tableColumn id="15" name="Source requirement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TechnicalSpecsTable" displayName="TechnicalSpecsTable" ref="A6:N29" headerRowCount="1" totalsRowCount="0" totalsRowShown="0">
  <x:tableColumns count="14">
    <x:tableColumn id="1" name="Spec ID"/>
    <x:tableColumn id="2" name="Gate"/>
    <x:tableColumn id="3" name="Day"/>
    <x:tableColumn id="4" name="Component / area"/>
    <x:tableColumn id="5" name="Implementation requirement"/>
    <x:tableColumn id="6" name="Data / interface contract"/>
    <x:tableColumn id="7" name="Controls and constraints"/>
    <x:tableColumn id="8" name="Failure / exception behavior"/>
    <x:tableColumn id="9" name="Verification required"/>
    <x:tableColumn id="10" name="Linked task IDs"/>
    <x:tableColumn id="11" name="Acceptance cases"/>
    <x:tableColumn id="12" name="Delivery owner"/>
    <x:tableColumn id="13" name="Required decision / approval"/>
    <x:tableColumn id="14" name="Source requiremen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af6959f6cf51471d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c230d111bbd44ee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6c0c1476f1b9467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1eb67969d0e54b2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76977611b946456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5cf12e7e9bd849fd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0308d8b99e304959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8.xml" Id="R06fa9f7d79a64327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10" hidden="0" customWidth="1"/>
    <x:col min="2" max="2" width="7" hidden="0" customWidth="1"/>
    <x:col min="3" max="3" width="27" hidden="0" customWidth="1"/>
    <x:col min="4" max="4" width="48" hidden="0" customWidth="1"/>
    <x:col min="5" max="5" width="54" hidden="0" customWidth="1"/>
    <x:col min="6" max="6" width="32" hidden="0" customWidth="1"/>
    <x:col min="7" max="7" width="48" hidden="0" customWidth="1"/>
    <x:col min="8" max="8" width="16" hidden="0" customWidth="1"/>
    <x:col min="9" max="9" width="26" hidden="0" customWidth="1"/>
    <x:col min="10" max="10" width="26" hidden="0" customWidth="1"/>
    <x:col min="11" max="11" width="9" hidden="0" customWidth="1"/>
    <x:col min="12" max="12" width="14" hidden="0" customWidth="1"/>
    <x:col min="13" max="13" width="36" hidden="0" customWidth="1"/>
    <x:col min="14" max="14" width="36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</x:row>
    <x:row r="2">
      <x:c r="A2" s="2" t="str">
        <x:v>MatriSathi stage gates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</x:row>
    <x:row r="3">
      <x:c r="A3" s="3" t="str">
        <x:v>Day 1 = agreed kickoff. Counts do not approve gates. Amber cells require human input.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</x:row>
    <x:row r="4">
      <x:c r="A4" s="19" t="str">
        <x:v>Version 1.1: detailed build requirements are in Functional Specs and Technical Specs. Gate IDs SG0–SG7 are milestones; F/T IDs are specs; R IDs are shared requirements.</x:v>
      </x:c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</x:row>
    <x:row r="5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</x:row>
    <x:row r="6" ht="34" customHeight="1">
      <x:c r="A6" s="8" t="str">
        <x:v>Gate</x:v>
      </x:c>
      <x:c r="B6" s="8" t="str">
        <x:v>Day</x:v>
      </x:c>
      <x:c r="C6" s="8" t="str">
        <x:v>Milestone</x:v>
      </x:c>
      <x:c r="D6" s="8" t="str">
        <x:v>Demonstrate</x:v>
      </x:c>
      <x:c r="E6" s="8" t="str">
        <x:v>Exit criteria</x:v>
      </x:c>
      <x:c r="F6" s="8" t="str">
        <x:v>Required reviewers</x:v>
      </x:c>
      <x:c r="G6" s="8" t="str">
        <x:v>Evidence pack</x:v>
      </x:c>
      <x:c r="H6" s="8" t="str">
        <x:v>Outcome</x:v>
      </x:c>
      <x:c r="I6" s="8" t="str">
        <x:v>Decision by / date</x:v>
      </x:c>
      <x:c r="J6" s="8" t="str">
        <x:v>Evidence link</x:v>
      </x:c>
      <x:c r="K6" s="8" t="str">
        <x:v>Tasks</x:v>
      </x:c>
      <x:c r="L6" s="8" t="str">
        <x:v>Verified done</x:v>
      </x:c>
      <x:c r="M6" s="29" t="str">
        <x:v>Functional spec IDs</x:v>
      </x:c>
      <x:c r="N6" s="29" t="str">
        <x:v>Technical spec IDs</x:v>
      </x:c>
    </x:row>
    <x:row r="7" ht="55" customHeight="1">
      <x:c r="A7" s="9" t="str">
        <x:v>SG0</x:v>
      </x:c>
      <x:c r="B7" s="9" t="n">
        <x:v>2</x:v>
      </x:c>
      <x:c r="C7" s="9" t="str">
        <x:v>Kickoff and working agreement</x:v>
      </x:c>
      <x:c r="D7" s="9" t="str">
        <x:v>Baseline, roles, capacity, repository workflow and clinical owners agreed.</x:v>
      </x:c>
      <x:c r="E7" s="9" t="str">
        <x:v>Approve scope amendments, decision owners, weekly hours and first slice. Repository setup evidenced or a named blocker recorded.</x:v>
      </x:c>
      <x:c r="F7" s="9" t="str">
        <x:v>Team lead + Tech lead</x:v>
      </x:c>
      <x:c r="G7" s="9" t="str">
        <x:v>Baseline files; decision log; owner list; approved next-stage scope.</x:v>
      </x:c>
      <x:c r="H7" s="10" t="str">
        <x:v>Pending</x:v>
      </x:c>
      <x:c r="I7" s="10" t="str"/>
      <x:c r="J7" s="10" t="str"/>
      <x:c r="K7" s="9" t="n">
        <x:f>COUNTIF(Tasks!$C$7:$C$68,A7)</x:f>
        <x:v>2</x:v>
      </x:c>
      <x:c r="L7" s="9" t="n">
        <x:f>SUMIF(Tasks!$C$7:$C$68,A7,Tasks!$Q$7:$Q$68)</x:f>
        <x:v>0</x:v>
      </x:c>
      <x:c r="M7" s="26" t="str">
        <x:v>F001</x:v>
      </x:c>
      <x:c r="N7" s="26" t="str">
        <x:v>T001</x:v>
      </x:c>
    </x:row>
    <x:row r="8" ht="40" customHeight="1">
      <x:c r="A8" s="5" t="str">
        <x:v>SG1</x:v>
      </x:c>
      <x:c r="B8" s="5" t="n">
        <x:v>7</x:v>
      </x:c>
      <x:c r="C8" s="5" t="str">
        <x:v>Independent foundation</x:v>
      </x:c>
      <x:c r="D8" s="5" t="str">
        <x:v>Browser login, mother registration and pregnancy creation survive reload/restart.</x:v>
      </x:c>
      <x:c r="E8" s="5" t="str">
        <x:v>AT01–AT05 pass; two organizations tested; clean setup and CI evidence; first slice reviewed.</x:v>
      </x:c>
      <x:c r="F8" s="5" t="str">
        <x:v>Tech lead + Team lead</x:v>
      </x:c>
      <x:c r="G8" s="5" t="str">
        <x:v>Commit SHA; CI output; synthetic browser demo; schema/permission review.</x:v>
      </x:c>
      <x:c r="H8" s="10" t="str">
        <x:v>Pending</x:v>
      </x:c>
      <x:c r="I8" s="10" t="str"/>
      <x:c r="J8" s="10" t="str"/>
      <x:c r="K8" s="5" t="n">
        <x:f>COUNTIF(Tasks!$C$7:$C$68,A8)</x:f>
        <x:v>6</x:v>
      </x:c>
      <x:c r="L8" s="5" t="n">
        <x:f>SUMIF(Tasks!$C$7:$C$68,A8,Tasks!$Q$7:$Q$68)</x:f>
        <x:v>0</x:v>
      </x:c>
      <x:c r="M8" s="27" t="str">
        <x:v>F002–F004</x:v>
      </x:c>
      <x:c r="N8" s="27" t="str">
        <x:v>T002–T007</x:v>
      </x:c>
    </x:row>
    <x:row r="9" ht="55" customHeight="1">
      <x:c r="A9" s="9" t="str">
        <x:v>SG2</x:v>
      </x:c>
      <x:c r="B9" s="9" t="n">
        <x:v>14</x:v>
      </x:c>
      <x:c r="C9" s="9" t="str">
        <x:v>Pregnancy care and next actions</x:v>
      </x:c>
      <x:c r="D9" s="9" t="str">
        <x:v>Approved ANC plan, birth preparation, tasks, private records and safe patient access work.</x:v>
      </x:c>
      <x:c r="E9" s="9" t="str">
        <x:v>AT06–AT10 and AT28 pass; doctor validates journey and schedule; uploaded report is not marked reviewed.</x:v>
      </x:c>
      <x:c r="F9" s="9" t="str">
        <x:v>Team lead + Doctor + Tech lead</x:v>
      </x:c>
      <x:c r="G9" s="9" t="str">
        <x:v>Clinical version approvals; task/referral demo; private-file access tests.</x:v>
      </x:c>
      <x:c r="H9" s="10" t="str">
        <x:v>Pending</x:v>
      </x:c>
      <x:c r="I9" s="10" t="str"/>
      <x:c r="J9" s="10" t="str"/>
      <x:c r="K9" s="9" t="n">
        <x:f>COUNTIF(Tasks!$C$7:$C$68,A9)</x:f>
        <x:v>8</x:v>
      </x:c>
      <x:c r="L9" s="9" t="n">
        <x:f>SUMIF(Tasks!$C$7:$C$68,A9,Tasks!$Q$7:$Q$68)</x:f>
        <x:v>0</x:v>
      </x:c>
      <x:c r="M9" s="26" t="str">
        <x:v>F005–F015, F044</x:v>
      </x:c>
      <x:c r="N9" s="26" t="str">
        <x:v>T008–T010</x:v>
      </x:c>
    </x:row>
    <x:row r="10" ht="55" customHeight="1">
      <x:c r="A10" s="5" t="str">
        <x:v>SG3</x:v>
      </x:c>
      <x:c r="B10" s="5" t="n">
        <x:v>21</x:v>
      </x:c>
      <x:c r="C10" s="5" t="str">
        <x:v>Real WhatsApp and voice</x:v>
      </x:c>
      <x:c r="D10" s="5" t="str">
        <x:v>Actual outbound template plus inbound text, audio and photo reach a staffed test inbox.</x:v>
      </x:c>
      <x:c r="E10" s="5" t="str">
        <x:v>AT11–AT14 pass on consenting staff test numbers; retries, opt-out and recipient ambiguity demonstrated.</x:v>
      </x:c>
      <x:c r="F10" s="5" t="str">
        <x:v>Tech lead + Team lead + Doctor</x:v>
      </x:c>
      <x:c r="G10" s="5" t="str">
        <x:v>Provider configuration record without secrets; message IDs/statuses; audio demo; failure rehearsal.</x:v>
      </x:c>
      <x:c r="H10" s="10" t="str">
        <x:v>Pending</x:v>
      </x:c>
      <x:c r="I10" s="10" t="str"/>
      <x:c r="J10" s="10" t="str"/>
      <x:c r="K10" s="5" t="n">
        <x:f>COUNTIF(Tasks!$C$7:$C$68,A10)</x:f>
        <x:v>8</x:v>
      </x:c>
      <x:c r="L10" s="5" t="n">
        <x:f>SUMIF(Tasks!$C$7:$C$68,A10,Tasks!$Q$7:$Q$68)</x:f>
        <x:v>0</x:v>
      </x:c>
      <x:c r="M10" s="27" t="str">
        <x:v>F016–F020</x:v>
      </x:c>
      <x:c r="N10" s="27" t="str">
        <x:v>T011–T013</x:v>
      </x:c>
    </x:row>
    <x:row r="11" ht="40" customHeight="1">
      <x:c r="A11" s="9" t="str">
        <x:v>SG4</x:v>
      </x:c>
      <x:c r="B11" s="9" t="n">
        <x:v>28</x:v>
      </x:c>
      <x:c r="C11" s="9" t="str">
        <x:v>Birth and early postpartum</x:v>
      </x:c>
      <x:c r="D11" s="9" t="str">
        <x:v>Separate mother/baby events, twins, discharge, loss pause and transfer work.</x:v>
      </x:c>
      <x:c r="E11" s="9" t="str">
        <x:v>AT15–AT18 and AT29 pass; maternal and pediatric reviewers validate event handling.</x:v>
      </x:c>
      <x:c r="F11" s="9" t="str">
        <x:v>Doctor + Pediatric reviewer + Tech lead</x:v>
      </x:c>
      <x:c r="G11" s="9" t="str">
        <x:v>Twin/loss/transfer scenarios; clinical approvals; task handover evidence.</x:v>
      </x:c>
      <x:c r="H11" s="10" t="str">
        <x:v>Pending</x:v>
      </x:c>
      <x:c r="I11" s="10" t="str"/>
      <x:c r="J11" s="10" t="str"/>
      <x:c r="K11" s="9" t="n">
        <x:f>COUNTIF(Tasks!$C$7:$C$68,A11)</x:f>
        <x:v>8</x:v>
      </x:c>
      <x:c r="L11" s="9" t="n">
        <x:f>SUMIF(Tasks!$C$7:$C$68,A11,Tasks!$Q$7:$Q$68)</x:f>
        <x:v>0</x:v>
      </x:c>
      <x:c r="M11" s="26" t="str">
        <x:v>F021–F028</x:v>
      </x:c>
      <x:c r="N11" s="26" t="str">
        <x:v>T014–T015</x:v>
      </x:c>
    </x:row>
    <x:row r="12" ht="55" customHeight="1">
      <x:c r="A12" s="5" t="str">
        <x:v>SG5</x:v>
      </x:c>
      <x:c r="B12" s="5" t="n">
        <x:v>42</x:v>
      </x:c>
      <x:c r="C12" s="5" t="str">
        <x:v>Complete MVP scope</x:v>
      </x:c>
      <x:c r="D12" s="5" t="str">
        <x:v>All eight journey stages and R01–R12 functionality implemented; release hardening continues.</x:v>
      </x:c>
      <x:c r="E12" s="5" t="str">
        <x:v>AT01–AT23 and AT28–AT32 pass; all 12 audio topics approved; all mandatory scope mapped.</x:v>
      </x:c>
      <x:c r="F12" s="5" t="str">
        <x:v>Team lead + Doctor/Pediatric reviewer + Tech lead</x:v>
      </x:c>
      <x:c r="G12" s="5" t="str">
        <x:v>Traceability matrix; full journey demo; regression; content approvals; open-defect list.</x:v>
      </x:c>
      <x:c r="H12" s="10" t="str">
        <x:v>Pending</x:v>
      </x:c>
      <x:c r="I12" s="10" t="str"/>
      <x:c r="J12" s="10" t="str"/>
      <x:c r="K12" s="5" t="n">
        <x:f>COUNTIF(Tasks!$C$7:$C$68,A12)</x:f>
        <x:v>16</x:v>
      </x:c>
      <x:c r="L12" s="5" t="n">
        <x:f>SUMIF(Tasks!$C$7:$C$68,A12,Tasks!$Q$7:$Q$68)</x:f>
        <x:v>0</x:v>
      </x:c>
      <x:c r="M12" s="27" t="str">
        <x:v>F029–F040</x:v>
      </x:c>
      <x:c r="N12" s="27" t="str">
        <x:v>T016–T020</x:v>
      </x:c>
    </x:row>
    <x:row r="13" ht="55" customHeight="1">
      <x:c r="A13" s="9" t="str">
        <x:v>SG6</x:v>
      </x:c>
      <x:c r="B13" s="9" t="n">
        <x:v>49</x:v>
      </x:c>
      <x:c r="C13" s="9" t="str">
        <x:v>Field validation and resilience</x:v>
      </x:c>
      <x:c r="D13" s="9" t="str">
        <x:v>Representative rural/semi-urban users complete core tasks; restore and failure drills run.</x:v>
      </x:c>
      <x:c r="E13" s="9" t="str">
        <x:v>AT24–AT27 pass; at least 5/6 users succeed with intended assistance and no safety-critical misunderstanding.</x:v>
      </x:c>
      <x:c r="F13" s="9" t="str">
        <x:v>Team lead + Tech lead + Tester + Doctor</x:v>
      </x:c>
      <x:c r="G13" s="9" t="str">
        <x:v>Observed user results; measured load/network report; restore/rollback evidence; retests.</x:v>
      </x:c>
      <x:c r="H13" s="10" t="str">
        <x:v>Pending</x:v>
      </x:c>
      <x:c r="I13" s="10" t="str"/>
      <x:c r="J13" s="10" t="str"/>
      <x:c r="K13" s="9" t="n">
        <x:f>COUNTIF(Tasks!$C$7:$C$68,A13)</x:f>
        <x:v>7</x:v>
      </x:c>
      <x:c r="L13" s="9" t="n">
        <x:f>SUMIF(Tasks!$C$7:$C$68,A13,Tasks!$Q$7:$Q$68)</x:f>
        <x:v>0</x:v>
      </x:c>
      <x:c r="M13" s="26" t="str">
        <x:v>F041–F042</x:v>
      </x:c>
      <x:c r="N13" s="26" t="str">
        <x:v>T021–T022</x:v>
      </x:c>
    </x:row>
    <x:row r="14" ht="55" customHeight="1">
      <x:c r="A14" s="5" t="str">
        <x:v>SG7</x:v>
      </x:c>
      <x:c r="B14" s="5" t="n">
        <x:v>56</x:v>
      </x:c>
      <x:c r="C14" s="5" t="str">
        <x:v>Pilot-deployable release</x:v>
      </x:c>
      <x:c r="D14" s="5" t="str">
        <x:v>Release candidate has complete evidence, operating owners and a reproducible deployment.</x:v>
      </x:c>
      <x:c r="E14" s="5" t="str">
        <x:v>AT01–AT32 pass for candidate or valid unchanged evidence; no critical/high defects; three separate sign-offs.</x:v>
      </x:c>
      <x:c r="F14" s="5" t="str">
        <x:v>Team lead + Tech lead + Doctor/Pediatric reviewer + Facility owner</x:v>
      </x:c>
      <x:c r="G14" s="5" t="str">
        <x:v>Release SHA; checks and approvals; runbooks; roster; rollout/rollback and cost limits.</x:v>
      </x:c>
      <x:c r="H14" s="10" t="str">
        <x:v>Pending</x:v>
      </x:c>
      <x:c r="I14" s="10" t="str"/>
      <x:c r="J14" s="10" t="str"/>
      <x:c r="K14" s="5" t="n">
        <x:f>COUNTIF(Tasks!$C$7:$C$68,A14)</x:f>
        <x:v>7</x:v>
      </x:c>
      <x:c r="L14" s="5" t="n">
        <x:f>SUMIF(Tasks!$C$7:$C$68,A14,Tasks!$Q$7:$Q$68)</x:f>
        <x:v>0</x:v>
      </x:c>
      <x:c r="M14" s="27" t="str">
        <x:v>F043</x:v>
      </x:c>
      <x:c r="N14" s="27" t="str">
        <x:v>T023</x:v>
      </x:c>
    </x:row>
    <x:row r="15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  <x:c r="L15" s="1"/>
    </x:row>
    <x:row r="16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  <x:c r="L16" s="1"/>
    </x:row>
  </x:sheetData>
  <x:conditionalFormatting sqref="H7:H14">
    <x:cfRule type="containsText" dxfId="2" priority="1" operator="containsText" text="Hold"/>
  </x:conditionalFormatting>
  <x:conditionalFormatting sqref="A7:L14">
    <x:cfRule type="expression" dxfId="3" priority="2">
      <x:formula>AND($H7="Pass",OR($I7="",$J7=""))</x:formula>
    </x:cfRule>
  </x:conditionalFormatting>
  <x:dataValidations count="1">
    <x:dataValidation type="list" sqref="H7:H14">
      <x:formula1>"Pending,Pass,Conditional,Hold"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f6959f6cf51471d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1" hidden="0" customWidth="1"/>
    <x:col min="2" max="2" width="8" hidden="0" customWidth="1"/>
    <x:col min="3" max="3" width="9" hidden="0" customWidth="1"/>
    <x:col min="4" max="4" width="17" hidden="0" customWidth="1"/>
    <x:col min="5" max="5" width="11" hidden="0" customWidth="1"/>
    <x:col min="6" max="6" width="39" hidden="0" customWidth="1"/>
    <x:col min="7" max="7" width="25" hidden="0" customWidth="1"/>
    <x:col min="8" max="8" width="22" hidden="0" customWidth="1"/>
    <x:col min="9" max="9" width="58" hidden="0" customWidth="1"/>
    <x:col min="10" max="10" width="22" hidden="0" customWidth="1"/>
    <x:col min="11" max="11" width="16" hidden="0" customWidth="1"/>
    <x:col min="12" max="12" width="28" hidden="0" customWidth="1"/>
    <x:col min="13" max="13" width="17" hidden="0" customWidth="1"/>
    <x:col min="14" max="14" width="12" hidden="0" customWidth="1"/>
    <x:col min="15" max="15" width="24" hidden="0" customWidth="1"/>
    <x:col min="16" max="16" width="20" hidden="0" customWidth="1"/>
    <x:col min="17" max="17" width="14" hidden="0" customWidth="1"/>
    <x:col min="18" max="18" width="75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</x:row>
    <x:row r="2">
      <x:c r="A2" s="2" t="str">
        <x:v>MatriSathi task backlog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</x:row>
    <x:row r="3">
      <x:c r="A3" s="3" t="str">
        <x:v>Version 1.0 | Estimates in hours. Issues/PRs own daily status; refresh this snapshot weekly.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</x:row>
    <x:row r="4">
      <x:c r="A4" s="19" t="str">
        <x:v>F IDs are detailed in Functional Specs; T IDs in Technical Specs. Filter by Gate or linked task. Existing hours and status fields are unchanged.</x:v>
      </x:c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</x:row>
    <x:row r="5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</x:row>
    <x:row r="6" ht="34" customHeight="1">
      <x:c r="A6" s="8" t="str">
        <x:v>ID</x:v>
      </x:c>
      <x:c r="B6" s="8" t="str">
        <x:v>Week</x:v>
      </x:c>
      <x:c r="C6" s="8" t="str">
        <x:v>Gate</x:v>
      </x:c>
      <x:c r="D6" s="8" t="str">
        <x:v>Owner</x:v>
      </x:c>
      <x:c r="E6" s="8" t="str">
        <x:v>Est. hours</x:v>
      </x:c>
      <x:c r="F6" s="8" t="str">
        <x:v>Task</x:v>
      </x:c>
      <x:c r="G6" s="8" t="str">
        <x:v>Dependencies</x:v>
      </x:c>
      <x:c r="H6" s="8" t="str">
        <x:v>Requirements</x:v>
      </x:c>
      <x:c r="I6" s="8" t="str">
        <x:v>Acceptance / evidence needed</x:v>
      </x:c>
      <x:c r="J6" s="8" t="str">
        <x:v>Reviewer</x:v>
      </x:c>
      <x:c r="K6" s="8" t="str">
        <x:v>Status</x:v>
      </x:c>
      <x:c r="L6" s="8" t="str">
        <x:v>Evidence link</x:v>
      </x:c>
      <x:c r="M6" s="8" t="str">
        <x:v>Review result</x:v>
      </x:c>
      <x:c r="N6" s="8" t="str">
        <x:v>Actual hours</x:v>
      </x:c>
      <x:c r="O6" s="8" t="str">
        <x:v>Issue / PR</x:v>
      </x:c>
      <x:c r="P6" s="8" t="str">
        <x:v>Actual reviewer</x:v>
      </x:c>
      <x:c r="Q6" s="8" t="str">
        <x:v>Verified done</x:v>
      </x:c>
      <x:c r="R6" s="29" t="str">
        <x:v>Detailed spec IDs</x:v>
      </x:c>
    </x:row>
    <x:row r="7" ht="40" customHeight="1">
      <x:c r="A7" s="9" t="str">
        <x:v>M001</x:v>
      </x:c>
      <x:c r="B7" s="9" t="n">
        <x:v>1</x:v>
      </x:c>
      <x:c r="C7" s="9" t="str">
        <x:v>SG0</x:v>
      </x:c>
      <x:c r="D7" s="9" t="str">
        <x:v>Team lead</x:v>
      </x:c>
      <x:c r="E7" s="11" t="n">
        <x:v>3</x:v>
      </x:c>
      <x:c r="F7" s="9" t="str">
        <x:v>Confirm baseline, capacity and pilot setting</x:v>
      </x:c>
      <x:c r="G7" s="9" t="str">
        <x:v>None</x:v>
      </x:c>
      <x:c r="H7" s="9" t="str">
        <x:v>R09 R11 R12</x:v>
      </x:c>
      <x:c r="I7" s="9" t="str">
        <x:v>Named owners; exact developer hours; two settings and language selected; amendments accepted.</x:v>
      </x:c>
      <x:c r="J7" s="9" t="str">
        <x:v>Tech lead</x:v>
      </x:c>
      <x:c r="K7" s="10" t="str">
        <x:v>Not started</x:v>
      </x:c>
      <x:c r="L7" s="10" t="str"/>
      <x:c r="M7" s="10" t="str">
        <x:v>Pending</x:v>
      </x:c>
      <x:c r="N7" s="13"/>
      <x:c r="O7" s="10" t="str"/>
      <x:c r="P7" s="10" t="str"/>
      <x:c r="Q7" s="9" t="n">
        <x:f>IF(AND(K7="Done",M7="Accepted",LEN(L7)&gt;0,LEN(P7)&gt;0),1,0)</x:f>
        <x:v>0</x:v>
      </x:c>
      <x:c r="R7" s="26" t="str">
        <x:v>F001, T001</x:v>
      </x:c>
    </x:row>
    <x:row r="8" ht="40" customHeight="1">
      <x:c r="A8" s="5" t="str">
        <x:v>M002</x:v>
      </x:c>
      <x:c r="B8" s="5" t="n">
        <x:v>1</x:v>
      </x:c>
      <x:c r="C8" s="5" t="str">
        <x:v>SG0</x:v>
      </x:c>
      <x:c r="D8" s="5" t="str">
        <x:v>Tech lead</x:v>
      </x:c>
      <x:c r="E8" s="12" t="n">
        <x:v>2</x:v>
      </x:c>
      <x:c r="F8" s="5" t="str">
        <x:v>Shared repository and engineering agreement</x:v>
      </x:c>
      <x:c r="G8" s="5" t="str">
        <x:v>M001</x:v>
      </x:c>
      <x:c r="H8" s="5" t="str">
        <x:v>R09 R10</x:v>
      </x:c>
      <x:c r="I8" s="5" t="str">
        <x:v>Correct remote; protected-main proposal; task branches and approvals documented; secrets ignored.</x:v>
      </x:c>
      <x:c r="J8" s="5" t="str">
        <x:v>Team lead</x:v>
      </x:c>
      <x:c r="K8" s="10" t="str">
        <x:v>Not started</x:v>
      </x:c>
      <x:c r="L8" s="10" t="str"/>
      <x:c r="M8" s="10" t="str">
        <x:v>Pending</x:v>
      </x:c>
      <x:c r="N8" s="13"/>
      <x:c r="O8" s="10" t="str"/>
      <x:c r="P8" s="10" t="str"/>
      <x:c r="Q8" s="5" t="n">
        <x:f>IF(AND(K8="Done",M8="Accepted",LEN(L8)&gt;0,LEN(P8)&gt;0),1,0)</x:f>
        <x:v>0</x:v>
      </x:c>
      <x:c r="R8" s="27" t="str">
        <x:v>F001, T001, T007</x:v>
      </x:c>
    </x:row>
    <x:row r="9" ht="55" customHeight="1">
      <x:c r="A9" s="9" t="str">
        <x:v>M003</x:v>
      </x:c>
      <x:c r="B9" s="9" t="n">
        <x:v>1</x:v>
      </x:c>
      <x:c r="C9" s="9" t="str">
        <x:v>SG1</x:v>
      </x:c>
      <x:c r="D9" s="9" t="str">
        <x:v>Tech lead</x:v>
      </x:c>
      <x:c r="E9" s="11" t="n">
        <x:v>6</x:v>
      </x:c>
      <x:c r="F9" s="9" t="str">
        <x:v>Review identity, auth, tenant and audit design</x:v>
      </x:c>
      <x:c r="G9" s="9" t="str">
        <x:v>M002</x:v>
      </x:c>
      <x:c r="H9" s="9" t="str">
        <x:v>R02 R07</x:v>
      </x:c>
      <x:c r="I9" s="9" t="str">
        <x:v>Unique staff login, org authority, session revocation and DB-role boundaries specified; AT01–AT04 design approved.</x:v>
      </x:c>
      <x:c r="J9" s="9" t="str">
        <x:v>Team lead</x:v>
      </x:c>
      <x:c r="K9" s="10" t="str">
        <x:v>Not started</x:v>
      </x:c>
      <x:c r="L9" s="10" t="str"/>
      <x:c r="M9" s="10" t="str">
        <x:v>Pending</x:v>
      </x:c>
      <x:c r="N9" s="13"/>
      <x:c r="O9" s="10" t="str"/>
      <x:c r="P9" s="10" t="str"/>
      <x:c r="Q9" s="9" t="n">
        <x:f>IF(AND(K9="Done",M9="Accepted",LEN(L9)&gt;0,LEN(P9)&gt;0),1,0)</x:f>
        <x:v>0</x:v>
      </x:c>
      <x:c r="R9" s="26" t="str">
        <x:v>F003, F004, T002, T003, T004, T005, T006</x:v>
      </x:c>
    </x:row>
    <x:row r="10" ht="40" customHeight="1">
      <x:c r="A10" s="5" t="str">
        <x:v>M004</x:v>
      </x:c>
      <x:c r="B10" s="5" t="n">
        <x:v>1</x:v>
      </x:c>
      <x:c r="C10" s="5" t="str">
        <x:v>SG1</x:v>
      </x:c>
      <x:c r="D10" s="5" t="str">
        <x:v>Developer</x:v>
      </x:c>
      <x:c r="E10" s="12" t="n">
        <x:v>7</x:v>
      </x:c>
      <x:c r="F10" s="5" t="str">
        <x:v>Scaffold API, database and first migration</x:v>
      </x:c>
      <x:c r="G10" s="5" t="str">
        <x:v>M002</x:v>
      </x:c>
      <x:c r="H10" s="5" t="str">
        <x:v>R02 R09</x:v>
      </x:c>
      <x:c r="I10" s="5" t="str">
        <x:v>Clean local setup; Organization/Facility/Membership/Person/Contact/Episode migrations work.</x:v>
      </x:c>
      <x:c r="J10" s="5" t="str">
        <x:v>Tech lead</x:v>
      </x:c>
      <x:c r="K10" s="10" t="str">
        <x:v>Not started</x:v>
      </x:c>
      <x:c r="L10" s="10" t="str"/>
      <x:c r="M10" s="10" t="str">
        <x:v>Pending</x:v>
      </x:c>
      <x:c r="N10" s="13"/>
      <x:c r="O10" s="10" t="str"/>
      <x:c r="P10" s="10" t="str"/>
      <x:c r="Q10" s="5" t="n">
        <x:f>IF(AND(K10="Done",M10="Accepted",LEN(L10)&gt;0,LEN(P10)&gt;0),1,0)</x:f>
        <x:v>0</x:v>
      </x:c>
      <x:c r="R10" s="27" t="str">
        <x:v>F002, T001, T002, T003, T007</x:v>
      </x:c>
    </x:row>
    <x:row r="11" ht="40" customHeight="1">
      <x:c r="A11" s="9" t="str">
        <x:v>M005</x:v>
      </x:c>
      <x:c r="B11" s="9" t="n">
        <x:v>1</x:v>
      </x:c>
      <x:c r="C11" s="9" t="str">
        <x:v>SG1</x:v>
      </x:c>
      <x:c r="D11" s="9" t="str">
        <x:v>Developer</x:v>
      </x:c>
      <x:c r="E11" s="11" t="n">
        <x:v>8</x:v>
      </x:c>
      <x:c r="F11" s="9" t="str">
        <x:v>Implement staff login and scoped identity endpoints</x:v>
      </x:c>
      <x:c r="G11" s="9" t="str">
        <x:v>M003 M004</x:v>
      </x:c>
      <x:c r="H11" s="9" t="str">
        <x:v>R02 R07</x:v>
      </x:c>
      <x:c r="I11" s="9" t="str">
        <x:v>AT01–AT04 pass including existing-person link denial and restricted audit writes.</x:v>
      </x:c>
      <x:c r="J11" s="9" t="str">
        <x:v>Tech lead</x:v>
      </x:c>
      <x:c r="K11" s="10" t="str">
        <x:v>Not started</x:v>
      </x:c>
      <x:c r="L11" s="10" t="str"/>
      <x:c r="M11" s="10" t="str">
        <x:v>Pending</x:v>
      </x:c>
      <x:c r="N11" s="13"/>
      <x:c r="O11" s="10" t="str"/>
      <x:c r="P11" s="10" t="str"/>
      <x:c r="Q11" s="9" t="n">
        <x:f>IF(AND(K11="Done",M11="Accepted",LEN(L11)&gt;0,LEN(P11)&gt;0),1,0)</x:f>
        <x:v>0</x:v>
      </x:c>
      <x:c r="R11" s="26" t="str">
        <x:v>F002, F003, F004, F037, T002, T003, T004, T005, T006</x:v>
      </x:c>
    </x:row>
    <x:row r="12" ht="40" customHeight="1">
      <x:c r="A12" s="5" t="str">
        <x:v>M006</x:v>
      </x:c>
      <x:c r="B12" s="5" t="n">
        <x:v>1</x:v>
      </x:c>
      <x:c r="C12" s="5" t="str">
        <x:v>SG1</x:v>
      </x:c>
      <x:c r="D12" s="5" t="str">
        <x:v>Developer</x:v>
      </x:c>
      <x:c r="E12" s="12" t="n">
        <x:v>7</x:v>
      </x:c>
      <x:c r="F12" s="5" t="str">
        <x:v>Build registration UI and continuous checks</x:v>
      </x:c>
      <x:c r="G12" s="5" t="str">
        <x:v>M005</x:v>
      </x:c>
      <x:c r="H12" s="5" t="str">
        <x:v>R09 R10</x:v>
      </x:c>
      <x:c r="I12" s="5" t="str">
        <x:v>Browser login/register/create/view works; CI configured and run after authorized push; AT05 pass.</x:v>
      </x:c>
      <x:c r="J12" s="5" t="str">
        <x:v>Tech lead</x:v>
      </x:c>
      <x:c r="K12" s="10" t="str">
        <x:v>Not started</x:v>
      </x:c>
      <x:c r="L12" s="10" t="str"/>
      <x:c r="M12" s="10" t="str">
        <x:v>Pending</x:v>
      </x:c>
      <x:c r="N12" s="13"/>
      <x:c r="O12" s="10" t="str"/>
      <x:c r="P12" s="10" t="str"/>
      <x:c r="Q12" s="5" t="n">
        <x:f>IF(AND(K12="Done",M12="Accepted",LEN(L12)&gt;0,LEN(P12)&gt;0),1,0)</x:f>
        <x:v>0</x:v>
      </x:c>
      <x:c r="R12" s="27" t="str">
        <x:v>F002, F003, T001, T007</x:v>
      </x:c>
    </x:row>
    <x:row r="13" ht="55" customHeight="1">
      <x:c r="A13" s="9" t="str">
        <x:v>M007</x:v>
      </x:c>
      <x:c r="B13" s="9" t="n">
        <x:v>1</x:v>
      </x:c>
      <x:c r="C13" s="9" t="str">
        <x:v>SG1</x:v>
      </x:c>
      <x:c r="D13" s="9" t="str">
        <x:v>Team lead</x:v>
      </x:c>
      <x:c r="E13" s="11" t="n">
        <x:v>4</x:v>
      </x:c>
      <x:c r="F13" s="9" t="str">
        <x:v>Coordinate reviewer, language and messaging onboarding</x:v>
      </x:c>
      <x:c r="G13" s="9" t="str">
        <x:v>M001</x:v>
      </x:c>
      <x:c r="H13" s="9" t="str">
        <x:v>R01 R06 R11</x:v>
      </x:c>
      <x:c r="I13" s="9" t="str">
        <x:v>Provider comparison assigned; staff test numbers and account owner ready; content responsibilities assigned.</x:v>
      </x:c>
      <x:c r="J13" s="9" t="str">
        <x:v>Doctor</x:v>
      </x:c>
      <x:c r="K13" s="10" t="str">
        <x:v>Not started</x:v>
      </x:c>
      <x:c r="L13" s="10" t="str"/>
      <x:c r="M13" s="10" t="str">
        <x:v>Pending</x:v>
      </x:c>
      <x:c r="N13" s="13"/>
      <x:c r="O13" s="10" t="str"/>
      <x:c r="P13" s="10" t="str"/>
      <x:c r="Q13" s="9" t="n">
        <x:f>IF(AND(K13="Done",M13="Accepted",LEN(L13)&gt;0,LEN(P13)&gt;0),1,0)</x:f>
        <x:v>0</x:v>
      </x:c>
      <x:c r="R13" s="26" t="str">
        <x:v>F016</x:v>
      </x:c>
    </x:row>
    <x:row r="14" ht="40" customHeight="1">
      <x:c r="A14" s="5" t="str">
        <x:v>M008</x:v>
      </x:c>
      <x:c r="B14" s="5" t="n">
        <x:v>1</x:v>
      </x:c>
      <x:c r="C14" s="5" t="str">
        <x:v>SG1</x:v>
      </x:c>
      <x:c r="D14" s="5" t="str">
        <x:v>Doctor</x:v>
      </x:c>
      <x:c r="E14" s="12" t="n">
        <x:v>2</x:v>
      </x:c>
      <x:c r="F14" s="5" t="str">
        <x:v>Validate intake, roles and journey coverage</x:v>
      </x:c>
      <x:c r="G14" s="5" t="str">
        <x:v>M001</x:v>
      </x:c>
      <x:c r="H14" s="5" t="str">
        <x:v>Stages 1–8 R02 R05</x:v>
      </x:c>
      <x:c r="I14" s="5" t="str">
        <x:v>Review notes identify required intake, role limits and pediatric reviewer.</x:v>
      </x:c>
      <x:c r="J14" s="5" t="str">
        <x:v>Team lead</x:v>
      </x:c>
      <x:c r="K14" s="10" t="str">
        <x:v>Not started</x:v>
      </x:c>
      <x:c r="L14" s="10" t="str"/>
      <x:c r="M14" s="10" t="str">
        <x:v>Pending</x:v>
      </x:c>
      <x:c r="N14" s="13"/>
      <x:c r="O14" s="10" t="str"/>
      <x:c r="P14" s="10" t="str"/>
      <x:c r="Q14" s="5" t="n">
        <x:f>IF(AND(K14="Done",M14="Accepted",LEN(L14)&gt;0,LEN(P14)&gt;0),1,0)</x:f>
        <x:v>0</x:v>
      </x:c>
      <x:c r="R14" s="27" t="str">
        <x:v>F002, F004</x:v>
      </x:c>
    </x:row>
    <x:row r="15" ht="40" customHeight="1">
      <x:c r="A15" s="9" t="str">
        <x:v>M009</x:v>
      </x:c>
      <x:c r="B15" s="9" t="n">
        <x:v>2</x:v>
      </x:c>
      <x:c r="C15" s="9" t="str">
        <x:v>SG2</x:v>
      </x:c>
      <x:c r="D15" s="9" t="str">
        <x:v>Tech lead</x:v>
      </x:c>
      <x:c r="E15" s="11" t="n">
        <x:v>5</x:v>
      </x:c>
      <x:c r="F15" s="9" t="str">
        <x:v>Review plan/task states and private media controls</x:v>
      </x:c>
      <x:c r="G15" s="9" t="str">
        <x:v>M003</x:v>
      </x:c>
      <x:c r="H15" s="9" t="str">
        <x:v>R03 R05 R07</x:v>
      </x:c>
      <x:c r="I15" s="9" t="str">
        <x:v>State-specific permissions, versioned plan rules and private upload/download contract agreed.</x:v>
      </x:c>
      <x:c r="J15" s="9" t="str">
        <x:v>Doctor</x:v>
      </x:c>
      <x:c r="K15" s="10" t="str">
        <x:v>Not started</x:v>
      </x:c>
      <x:c r="L15" s="10" t="str"/>
      <x:c r="M15" s="10" t="str">
        <x:v>Pending</x:v>
      </x:c>
      <x:c r="N15" s="13"/>
      <x:c r="O15" s="10" t="str"/>
      <x:c r="P15" s="10" t="str"/>
      <x:c r="Q15" s="9" t="n">
        <x:f>IF(AND(K15="Done",M15="Accepted",LEN(L15)&gt;0,LEN(P15)&gt;0),1,0)</x:f>
        <x:v>0</x:v>
      </x:c>
      <x:c r="R15" s="26" t="str">
        <x:v>F005, F007, F008, F009, T002, T008, T009</x:v>
      </x:c>
    </x:row>
    <x:row r="16" ht="40" customHeight="1">
      <x:c r="A16" s="5" t="str">
        <x:v>M010</x:v>
      </x:c>
      <x:c r="B16" s="5" t="n">
        <x:v>2</x:v>
      </x:c>
      <x:c r="C16" s="5" t="str">
        <x:v>SG2</x:v>
      </x:c>
      <x:c r="D16" s="5" t="str">
        <x:v>Tech lead</x:v>
      </x:c>
      <x:c r="E16" s="12" t="n">
        <x:v>3</x:v>
      </x:c>
      <x:c r="F16" s="5" t="str">
        <x:v>Approve patient/caregiver access mechanism</x:v>
      </x:c>
      <x:c r="G16" s="5" t="str">
        <x:v>M003</x:v>
      </x:c>
      <x:c r="H16" s="5" t="str">
        <x:v>R02 R07</x:v>
      </x:c>
      <x:c r="I16" s="5" t="str">
        <x:v>Shared-phone identity confirmation and revocation design reviewed; tests defined.</x:v>
      </x:c>
      <x:c r="J16" s="5" t="str">
        <x:v>Team lead</x:v>
      </x:c>
      <x:c r="K16" s="10" t="str">
        <x:v>Not started</x:v>
      </x:c>
      <x:c r="L16" s="10" t="str"/>
      <x:c r="M16" s="10" t="str">
        <x:v>Pending</x:v>
      </x:c>
      <x:c r="N16" s="13"/>
      <x:c r="O16" s="10" t="str"/>
      <x:c r="P16" s="10" t="str"/>
      <x:c r="Q16" s="5" t="n">
        <x:f>IF(AND(K16="Done",M16="Accepted",LEN(L16)&gt;0,LEN(P16)&gt;0),1,0)</x:f>
        <x:v>0</x:v>
      </x:c>
      <x:c r="R16" s="27" t="str">
        <x:v>F015, T005, T010</x:v>
      </x:c>
    </x:row>
    <x:row r="17" ht="40" customHeight="1">
      <x:c r="A17" s="9" t="str">
        <x:v>M011</x:v>
      </x:c>
      <x:c r="B17" s="9" t="n">
        <x:v>2</x:v>
      </x:c>
      <x:c r="C17" s="9" t="str">
        <x:v>SG2</x:v>
      </x:c>
      <x:c r="D17" s="9" t="str">
        <x:v>Developer</x:v>
      </x:c>
      <x:c r="E17" s="11" t="n">
        <x:v>8</x:v>
      </x:c>
      <x:c r="F17" s="9" t="str">
        <x:v>ANC plan, appointments and owned tasks</x:v>
      </x:c>
      <x:c r="G17" s="9" t="str">
        <x:v>M005 M009</x:v>
      </x:c>
      <x:c r="H17" s="9" t="str">
        <x:v>Stages 1–3 R03 R05</x:v>
      </x:c>
      <x:c r="I17" s="9" t="str">
        <x:v>AT06 AT07 pass; next action and missed/rescheduled appointment demo works.</x:v>
      </x:c>
      <x:c r="J17" s="9" t="str">
        <x:v>Tech lead</x:v>
      </x:c>
      <x:c r="K17" s="10" t="str">
        <x:v>Not started</x:v>
      </x:c>
      <x:c r="L17" s="10" t="str"/>
      <x:c r="M17" s="10" t="str">
        <x:v>Pending</x:v>
      </x:c>
      <x:c r="N17" s="13"/>
      <x:c r="O17" s="10" t="str"/>
      <x:c r="P17" s="10" t="str"/>
      <x:c r="Q17" s="9" t="n">
        <x:f>IF(AND(K17="Done",M17="Accepted",LEN(L17)&gt;0,LEN(P17)&gt;0),1,0)</x:f>
        <x:v>0</x:v>
      </x:c>
      <x:c r="R17" s="26" t="str">
        <x:v>F005, F006, F007, F008, T008</x:v>
      </x:c>
    </x:row>
    <x:row r="18" ht="40" customHeight="1">
      <x:c r="A18" s="5" t="str">
        <x:v>M012</x:v>
      </x:c>
      <x:c r="B18" s="5" t="n">
        <x:v>2</x:v>
      </x:c>
      <x:c r="C18" s="5" t="str">
        <x:v>SG2</x:v>
      </x:c>
      <x:c r="D18" s="5" t="str">
        <x:v>Developer</x:v>
      </x:c>
      <x:c r="E18" s="12" t="n">
        <x:v>8</x:v>
      </x:c>
      <x:c r="F18" s="5" t="str">
        <x:v>Reports, prescriptions and referral tracking</x:v>
      </x:c>
      <x:c r="G18" s="5" t="str">
        <x:v>M009 M011</x:v>
      </x:c>
      <x:c r="H18" s="5" t="str">
        <x:v>Stage 2 R03 R07</x:v>
      </x:c>
      <x:c r="I18" s="5" t="str">
        <x:v>AT08 AT09 pass; original records retained; clinical review restricted.</x:v>
      </x:c>
      <x:c r="J18" s="5" t="str">
        <x:v>Tech lead</x:v>
      </x:c>
      <x:c r="K18" s="10" t="str">
        <x:v>Not started</x:v>
      </x:c>
      <x:c r="L18" s="10" t="str"/>
      <x:c r="M18" s="10" t="str">
        <x:v>Pending</x:v>
      </x:c>
      <x:c r="N18" s="13"/>
      <x:c r="O18" s="10" t="str"/>
      <x:c r="P18" s="10" t="str"/>
      <x:c r="Q18" s="5" t="n">
        <x:f>IF(AND(K18="Done",M18="Accepted",LEN(L18)&gt;0,LEN(P18)&gt;0),1,0)</x:f>
        <x:v>0</x:v>
      </x:c>
      <x:c r="R18" s="27" t="str">
        <x:v>F009, F010, F011, F012, F044, T008, T009</x:v>
      </x:c>
    </x:row>
    <x:row r="19" ht="40" customHeight="1">
      <x:c r="A19" s="9" t="str">
        <x:v>M013</x:v>
      </x:c>
      <x:c r="B19" s="9" t="n">
        <x:v>2</x:v>
      </x:c>
      <x:c r="C19" s="9" t="str">
        <x:v>SG2</x:v>
      </x:c>
      <x:c r="D19" s="9" t="str">
        <x:v>Developer</x:v>
      </x:c>
      <x:c r="E19" s="11" t="n">
        <x:v>7</x:v>
      </x:c>
      <x:c r="F19" s="9" t="str">
        <x:v>Patient next-action view and birth-plan screen</x:v>
      </x:c>
      <x:c r="G19" s="9" t="str">
        <x:v>M010 M011</x:v>
      </x:c>
      <x:c r="H19" s="9" t="str">
        <x:v>Stage 3 R02 R06</x:v>
      </x:c>
      <x:c r="I19" s="9" t="str">
        <x:v>AT10 AT28 pass; caregiver revoke blocks access; no-phone route usable.</x:v>
      </x:c>
      <x:c r="J19" s="9" t="str">
        <x:v>Tech lead</x:v>
      </x:c>
      <x:c r="K19" s="10" t="str">
        <x:v>Not started</x:v>
      </x:c>
      <x:c r="L19" s="10" t="str"/>
      <x:c r="M19" s="10" t="str">
        <x:v>Pending</x:v>
      </x:c>
      <x:c r="N19" s="13"/>
      <x:c r="O19" s="10" t="str"/>
      <x:c r="P19" s="10" t="str"/>
      <x:c r="Q19" s="9" t="n">
        <x:f>IF(AND(K19="Done",M19="Accepted",LEN(L19)&gt;0,LEN(P19)&gt;0),1,0)</x:f>
        <x:v>0</x:v>
      </x:c>
      <x:c r="R19" s="26" t="str">
        <x:v>F006, F013, F014, F015, F044, T010</x:v>
      </x:c>
    </x:row>
    <x:row r="20" ht="40" customHeight="1">
      <x:c r="A20" s="5" t="str">
        <x:v>M014</x:v>
      </x:c>
      <x:c r="B20" s="5" t="n">
        <x:v>2</x:v>
      </x:c>
      <x:c r="C20" s="5" t="str">
        <x:v>SG2</x:v>
      </x:c>
      <x:c r="D20" s="5" t="str">
        <x:v>Team lead</x:v>
      </x:c>
      <x:c r="E20" s="12" t="n">
        <x:v>6</x:v>
      </x:c>
      <x:c r="F20" s="5" t="str">
        <x:v>Secure channel approval and prepare clinical content</x:v>
      </x:c>
      <x:c r="G20" s="5" t="str">
        <x:v>M007</x:v>
      </x:c>
      <x:c r="H20" s="5" t="str">
        <x:v>R01 R06 R11</x:v>
      </x:c>
      <x:c r="I20" s="5" t="str">
        <x:v>Provider decision/budget and account/template submission recorded; scripts prepared for review.</x:v>
      </x:c>
      <x:c r="J20" s="5" t="str">
        <x:v>Doctor</x:v>
      </x:c>
      <x:c r="K20" s="10" t="str">
        <x:v>Not started</x:v>
      </x:c>
      <x:c r="L20" s="10" t="str"/>
      <x:c r="M20" s="10" t="str">
        <x:v>Pending</x:v>
      </x:c>
      <x:c r="N20" s="13"/>
      <x:c r="O20" s="10" t="str"/>
      <x:c r="P20" s="10" t="str"/>
      <x:c r="Q20" s="5" t="n">
        <x:f>IF(AND(K20="Done",M20="Accepted",LEN(L20)&gt;0,LEN(P20)&gt;0),1,0)</x:f>
        <x:v>0</x:v>
      </x:c>
      <x:c r="R20" s="27" t="str">
        <x:v>F017</x:v>
      </x:c>
    </x:row>
    <x:row r="21" ht="40" customHeight="1">
      <x:c r="A21" s="9" t="str">
        <x:v>M015</x:v>
      </x:c>
      <x:c r="B21" s="9" t="n">
        <x:v>2</x:v>
      </x:c>
      <x:c r="C21" s="9" t="str">
        <x:v>SG2</x:v>
      </x:c>
      <x:c r="D21" s="9" t="str">
        <x:v>Doctor</x:v>
      </x:c>
      <x:c r="E21" s="11" t="n">
        <x:v>2</x:v>
      </x:c>
      <x:c r="F21" s="9" t="str">
        <x:v>Approve pilot ANC template and urgent wording</x:v>
      </x:c>
      <x:c r="G21" s="9" t="str">
        <x:v>M008 M011</x:v>
      </x:c>
      <x:c r="H21" s="9" t="str">
        <x:v>R05 R06</x:v>
      </x:c>
      <x:c r="I21" s="9" t="str">
        <x:v>Versioned schedule, birth contacts wording and role limits approved or corrections assigned.</x:v>
      </x:c>
      <x:c r="J21" s="9" t="str">
        <x:v>Team lead</x:v>
      </x:c>
      <x:c r="K21" s="10" t="str">
        <x:v>Not started</x:v>
      </x:c>
      <x:c r="L21" s="10" t="str"/>
      <x:c r="M21" s="10" t="str">
        <x:v>Pending</x:v>
      </x:c>
      <x:c r="N21" s="13"/>
      <x:c r="O21" s="10" t="str"/>
      <x:c r="P21" s="10" t="str"/>
      <x:c r="Q21" s="9" t="n">
        <x:f>IF(AND(K21="Done",M21="Accepted",LEN(L21)&gt;0,LEN(P21)&gt;0),1,0)</x:f>
        <x:v>0</x:v>
      </x:c>
      <x:c r="R21" s="26" t="str">
        <x:v>F005, F012, F013, F014, F044</x:v>
      </x:c>
    </x:row>
    <x:row r="22" ht="40" customHeight="1">
      <x:c r="A22" s="5" t="str">
        <x:v>M016</x:v>
      </x:c>
      <x:c r="B22" s="5" t="n">
        <x:v>2</x:v>
      </x:c>
      <x:c r="C22" s="5" t="str">
        <x:v>SG2</x:v>
      </x:c>
      <x:c r="D22" s="5" t="str">
        <x:v>Tester</x:v>
      </x:c>
      <x:c r="E22" s="12" t="n">
        <x:v>4</x:v>
      </x:c>
      <x:c r="F22" s="5" t="str">
        <x:v>Test foundation and antenatal slice</x:v>
      </x:c>
      <x:c r="G22" s="5" t="str">
        <x:v>M006 M013</x:v>
      </x:c>
      <x:c r="H22" s="5" t="str">
        <x:v>AT01–AT10 AT28</x:v>
      </x:c>
      <x:c r="I22" s="5" t="str">
        <x:v>Repeatable synthetic cases; failures logged with reproduction and evidence.</x:v>
      </x:c>
      <x:c r="J22" s="5" t="str">
        <x:v>Tech lead</x:v>
      </x:c>
      <x:c r="K22" s="10" t="str">
        <x:v>Not started</x:v>
      </x:c>
      <x:c r="L22" s="10" t="str"/>
      <x:c r="M22" s="10" t="str">
        <x:v>Pending</x:v>
      </x:c>
      <x:c r="N22" s="13"/>
      <x:c r="O22" s="10" t="str"/>
      <x:c r="P22" s="10" t="str"/>
      <x:c r="Q22" s="5" t="n">
        <x:f>IF(AND(K22="Done",M22="Accepted",LEN(L22)&gt;0,LEN(P22)&gt;0),1,0)</x:f>
        <x:v>0</x:v>
      </x:c>
      <x:c r="R22" s="27" t="str">
        <x:v>F007, F009, F011, F015</x:v>
      </x:c>
    </x:row>
    <x:row r="23" ht="40" customHeight="1">
      <x:c r="A23" s="9" t="str">
        <x:v>M017</x:v>
      </x:c>
      <x:c r="B23" s="9" t="n">
        <x:v>3</x:v>
      </x:c>
      <x:c r="C23" s="9" t="str">
        <x:v>SG3</x:v>
      </x:c>
      <x:c r="D23" s="9" t="str">
        <x:v>Tech lead</x:v>
      </x:c>
      <x:c r="E23" s="11" t="n">
        <x:v>5</x:v>
      </x:c>
      <x:c r="F23" s="9" t="str">
        <x:v>Channel adapter, webhook and outbox design review</x:v>
      </x:c>
      <x:c r="G23" s="9" t="str">
        <x:v>M014</x:v>
      </x:c>
      <x:c r="H23" s="9" t="str">
        <x:v>R01 R10</x:v>
      </x:c>
      <x:c r="I23" s="9" t="str">
        <x:v>Authenticated webhook, durable send, dedup/retry and ambiguous-send contracts agreed; failure cases specified.</x:v>
      </x:c>
      <x:c r="J23" s="9" t="str">
        <x:v>Team lead</x:v>
      </x:c>
      <x:c r="K23" s="10" t="str">
        <x:v>Not started</x:v>
      </x:c>
      <x:c r="L23" s="10" t="str"/>
      <x:c r="M23" s="10" t="str">
        <x:v>Pending</x:v>
      </x:c>
      <x:c r="N23" s="13"/>
      <x:c r="O23" s="10" t="str"/>
      <x:c r="P23" s="10" t="str"/>
      <x:c r="Q23" s="9" t="n">
        <x:f>IF(AND(K23="Done",M23="Accepted",LEN(L23)&gt;0,LEN(P23)&gt;0),1,0)</x:f>
        <x:v>0</x:v>
      </x:c>
      <x:c r="R23" s="26" t="str">
        <x:v>F017, T011, T012</x:v>
      </x:c>
    </x:row>
    <x:row r="24" ht="40" customHeight="1">
      <x:c r="A24" s="5" t="str">
        <x:v>M018</x:v>
      </x:c>
      <x:c r="B24" s="5" t="n">
        <x:v>3</x:v>
      </x:c>
      <x:c r="C24" s="5" t="str">
        <x:v>SG3</x:v>
      </x:c>
      <x:c r="D24" s="5" t="str">
        <x:v>Tech lead</x:v>
      </x:c>
      <x:c r="E24" s="12" t="n">
        <x:v>3</x:v>
      </x:c>
      <x:c r="F24" s="5" t="str">
        <x:v>Review media/privacy and inbox access</x:v>
      </x:c>
      <x:c r="G24" s="5" t="str">
        <x:v>M017</x:v>
      </x:c>
      <x:c r="H24" s="5" t="str">
        <x:v>R01 R02 R07</x:v>
      </x:c>
      <x:c r="I24" s="5" t="str">
        <x:v>Restricted queue, logging, media limits and patient-link authorization designed; access tests specified.</x:v>
      </x:c>
      <x:c r="J24" s="5" t="str">
        <x:v>Team lead</x:v>
      </x:c>
      <x:c r="K24" s="10" t="str">
        <x:v>Not started</x:v>
      </x:c>
      <x:c r="L24" s="10" t="str"/>
      <x:c r="M24" s="10" t="str">
        <x:v>Pending</x:v>
      </x:c>
      <x:c r="N24" s="13"/>
      <x:c r="O24" s="10" t="str"/>
      <x:c r="P24" s="10" t="str"/>
      <x:c r="Q24" s="5" t="n">
        <x:f>IF(AND(K24="Done",M24="Accepted",LEN(L24)&gt;0,LEN(P24)&gt;0),1,0)</x:f>
        <x:v>0</x:v>
      </x:c>
      <x:c r="R24" s="27" t="str">
        <x:v>F018, F019, T005, T009, T011, T013</x:v>
      </x:c>
    </x:row>
    <x:row r="25" ht="40" customHeight="1">
      <x:c r="A25" s="9" t="str">
        <x:v>M019</x:v>
      </x:c>
      <x:c r="B25" s="9" t="n">
        <x:v>3</x:v>
      </x:c>
      <x:c r="C25" s="9" t="str">
        <x:v>SG3</x:v>
      </x:c>
      <x:c r="D25" s="9" t="str">
        <x:v>Developer</x:v>
      </x:c>
      <x:c r="E25" s="11" t="n">
        <x:v>8</x:v>
      </x:c>
      <x:c r="F25" s="9" t="str">
        <x:v>Real WhatsApp outbound and callbacks</x:v>
      </x:c>
      <x:c r="G25" s="9" t="str">
        <x:v>M017</x:v>
      </x:c>
      <x:c r="H25" s="9" t="str">
        <x:v>R01 R10</x:v>
      </x:c>
      <x:c r="I25" s="9" t="str">
        <x:v>AT11 AT12 pass using staff numbers; delivered/failed/unknown remain distinct.</x:v>
      </x:c>
      <x:c r="J25" s="9" t="str">
        <x:v>Tech lead</x:v>
      </x:c>
      <x:c r="K25" s="10" t="str">
        <x:v>Not started</x:v>
      </x:c>
      <x:c r="L25" s="10" t="str"/>
      <x:c r="M25" s="10" t="str">
        <x:v>Pending</x:v>
      </x:c>
      <x:c r="N25" s="13"/>
      <x:c r="O25" s="10" t="str"/>
      <x:c r="P25" s="10" t="str"/>
      <x:c r="Q25" s="9" t="n">
        <x:f>IF(AND(K25="Done",M25="Accepted",LEN(L25)&gt;0,LEN(P25)&gt;0),1,0)</x:f>
        <x:v>0</x:v>
      </x:c>
      <x:c r="R25" s="26" t="str">
        <x:v>F016, F017, T011, T012</x:v>
      </x:c>
    </x:row>
    <x:row r="26" ht="40" customHeight="1">
      <x:c r="A26" s="5" t="str">
        <x:v>M020</x:v>
      </x:c>
      <x:c r="B26" s="5" t="n">
        <x:v>3</x:v>
      </x:c>
      <x:c r="C26" s="5" t="str">
        <x:v>SG3</x:v>
      </x:c>
      <x:c r="D26" s="5" t="str">
        <x:v>Developer</x:v>
      </x:c>
      <x:c r="E26" s="12" t="n">
        <x:v>8</x:v>
      </x:c>
      <x:c r="F26" s="5" t="str">
        <x:v>Staff inbox for text, voice and photo</x:v>
      </x:c>
      <x:c r="G26" s="5" t="str">
        <x:v>M018 M019</x:v>
      </x:c>
      <x:c r="H26" s="5" t="str">
        <x:v>R01 R03</x:v>
      </x:c>
      <x:c r="I26" s="5" t="str">
        <x:v>AT13 pass; ownership, backup, original audio playback and manual linking demonstrated.</x:v>
      </x:c>
      <x:c r="J26" s="5" t="str">
        <x:v>Tech lead</x:v>
      </x:c>
      <x:c r="K26" s="10" t="str">
        <x:v>Not started</x:v>
      </x:c>
      <x:c r="L26" s="10" t="str"/>
      <x:c r="M26" s="10" t="str">
        <x:v>Pending</x:v>
      </x:c>
      <x:c r="N26" s="13"/>
      <x:c r="O26" s="10" t="str"/>
      <x:c r="P26" s="10" t="str"/>
      <x:c r="Q26" s="5" t="n">
        <x:f>IF(AND(K26="Done",M26="Accepted",LEN(L26)&gt;0,LEN(P26)&gt;0),1,0)</x:f>
        <x:v>0</x:v>
      </x:c>
      <x:c r="R26" s="27" t="str">
        <x:v>F018, F019, T009, T011, T013</x:v>
      </x:c>
    </x:row>
    <x:row r="27" ht="40" customHeight="1">
      <x:c r="A27" s="9" t="str">
        <x:v>M021</x:v>
      </x:c>
      <x:c r="B27" s="9" t="n">
        <x:v>3</x:v>
      </x:c>
      <x:c r="C27" s="9" t="str">
        <x:v>SG3</x:v>
      </x:c>
      <x:c r="D27" s="9" t="str">
        <x:v>Developer</x:v>
      </x:c>
      <x:c r="E27" s="11" t="n">
        <x:v>7</x:v>
      </x:c>
      <x:c r="F27" s="9" t="str">
        <x:v>Approved audio, preferences and fallback</x:v>
      </x:c>
      <x:c r="G27" s="9" t="str">
        <x:v>M013 M019</x:v>
      </x:c>
      <x:c r="H27" s="9" t="str">
        <x:v>R01 R06</x:v>
      </x:c>
      <x:c r="I27" s="9" t="str">
        <x:v>AT14 pass; reviewed audio plays through web and permitted WhatsApp route; opt-out enforced.</x:v>
      </x:c>
      <x:c r="J27" s="9" t="str">
        <x:v>Doctor</x:v>
      </x:c>
      <x:c r="K27" s="10" t="str">
        <x:v>Not started</x:v>
      </x:c>
      <x:c r="L27" s="10" t="str"/>
      <x:c r="M27" s="10" t="str">
        <x:v>Pending</x:v>
      </x:c>
      <x:c r="N27" s="13"/>
      <x:c r="O27" s="10" t="str"/>
      <x:c r="P27" s="10" t="str"/>
      <x:c r="Q27" s="9" t="n">
        <x:f>IF(AND(K27="Done",M27="Accepted",LEN(L27)&gt;0,LEN(P27)&gt;0),1,0)</x:f>
        <x:v>0</x:v>
      </x:c>
      <x:c r="R27" s="26" t="str">
        <x:v>F010, F016, F019, F020, T013</x:v>
      </x:c>
    </x:row>
    <x:row r="28" ht="55" customHeight="1">
      <x:c r="A28" s="5" t="str">
        <x:v>M022</x:v>
      </x:c>
      <x:c r="B28" s="5" t="n">
        <x:v>3</x:v>
      </x:c>
      <x:c r="C28" s="5" t="str">
        <x:v>SG3</x:v>
      </x:c>
      <x:c r="D28" s="5" t="str">
        <x:v>Team lead</x:v>
      </x:c>
      <x:c r="E28" s="12" t="n">
        <x:v>6</x:v>
      </x:c>
      <x:c r="F28" s="5" t="str">
        <x:v>Run messaging demonstration and support rehearsal</x:v>
      </x:c>
      <x:c r="G28" s="5" t="str">
        <x:v>M019 M020</x:v>
      </x:c>
      <x:c r="H28" s="5" t="str">
        <x:v>R01 R11</x:v>
      </x:c>
      <x:c r="I28" s="5" t="str">
        <x:v>Account costs, safe contact preferences and inbox response hours recorded; real channel evidence collected.</x:v>
      </x:c>
      <x:c r="J28" s="5" t="str">
        <x:v>Tech lead</x:v>
      </x:c>
      <x:c r="K28" s="10" t="str">
        <x:v>Not started</x:v>
      </x:c>
      <x:c r="L28" s="10" t="str"/>
      <x:c r="M28" s="10" t="str">
        <x:v>Pending</x:v>
      </x:c>
      <x:c r="N28" s="13"/>
      <x:c r="O28" s="10" t="str"/>
      <x:c r="P28" s="10" t="str"/>
      <x:c r="Q28" s="5" t="n">
        <x:f>IF(AND(K28="Done",M28="Accepted",LEN(L28)&gt;0,LEN(P28)&gt;0),1,0)</x:f>
        <x:v>0</x:v>
      </x:c>
      <x:c r="R28" s="27" t="str">
        <x:v>F014, F016, T013</x:v>
      </x:c>
    </x:row>
    <x:row r="29" ht="40" customHeight="1">
      <x:c r="A29" s="9" t="str">
        <x:v>M023</x:v>
      </x:c>
      <x:c r="B29" s="9" t="n">
        <x:v>3</x:v>
      </x:c>
      <x:c r="C29" s="9" t="str">
        <x:v>SG3</x:v>
      </x:c>
      <x:c r="D29" s="9" t="str">
        <x:v>Doctor</x:v>
      </x:c>
      <x:c r="E29" s="11" t="n">
        <x:v>2</x:v>
      </x:c>
      <x:c r="F29" s="9" t="str">
        <x:v>Review audio/templates and clinical routing</x:v>
      </x:c>
      <x:c r="G29" s="9" t="str">
        <x:v>M015 M021</x:v>
      </x:c>
      <x:c r="H29" s="9" t="str">
        <x:v>R01 R06</x:v>
      </x:c>
      <x:c r="I29" s="9" t="str">
        <x:v>Initial audio batch and urgent route approved; no automated reassurance.</x:v>
      </x:c>
      <x:c r="J29" s="9" t="str">
        <x:v>Team lead</x:v>
      </x:c>
      <x:c r="K29" s="10" t="str">
        <x:v>Not started</x:v>
      </x:c>
      <x:c r="L29" s="10" t="str"/>
      <x:c r="M29" s="10" t="str">
        <x:v>Pending</x:v>
      </x:c>
      <x:c r="N29" s="13"/>
      <x:c r="O29" s="10" t="str"/>
      <x:c r="P29" s="10" t="str"/>
      <x:c r="Q29" s="9" t="n">
        <x:f>IF(AND(K29="Done",M29="Accepted",LEN(L29)&gt;0,LEN(P29)&gt;0),1,0)</x:f>
        <x:v>0</x:v>
      </x:c>
      <x:c r="R29" s="26" t="str">
        <x:v>F020</x:v>
      </x:c>
    </x:row>
    <x:row r="30" ht="40" customHeight="1">
      <x:c r="A30" s="5" t="str">
        <x:v>M024</x:v>
      </x:c>
      <x:c r="B30" s="5" t="n">
        <x:v>3</x:v>
      </x:c>
      <x:c r="C30" s="5" t="str">
        <x:v>SG3</x:v>
      </x:c>
      <x:c r="D30" s="5" t="str">
        <x:v>Tester</x:v>
      </x:c>
      <x:c r="E30" s="12" t="n">
        <x:v>4</x:v>
      </x:c>
      <x:c r="F30" s="5" t="str">
        <x:v>Exercise real channel and failure paths</x:v>
      </x:c>
      <x:c r="G30" s="5" t="str">
        <x:v>M019 M020 M021</x:v>
      </x:c>
      <x:c r="H30" s="5" t="str">
        <x:v>AT11–AT14</x:v>
      </x:c>
      <x:c r="I30" s="5" t="str">
        <x:v>Duplicate webhook, failure, opt-out, shared-phone ambiguity and unsupported file tests recorded.</x:v>
      </x:c>
      <x:c r="J30" s="5" t="str">
        <x:v>Tech lead</x:v>
      </x:c>
      <x:c r="K30" s="10" t="str">
        <x:v>Not started</x:v>
      </x:c>
      <x:c r="L30" s="10" t="str"/>
      <x:c r="M30" s="10" t="str">
        <x:v>Pending</x:v>
      </x:c>
      <x:c r="N30" s="13"/>
      <x:c r="O30" s="10" t="str"/>
      <x:c r="P30" s="10" t="str"/>
      <x:c r="Q30" s="5" t="n">
        <x:f>IF(AND(K30="Done",M30="Accepted",LEN(L30)&gt;0,LEN(P30)&gt;0),1,0)</x:f>
        <x:v>0</x:v>
      </x:c>
      <x:c r="R30" s="27" t="str">
        <x:v>F017, F018, T011</x:v>
      </x:c>
    </x:row>
    <x:row r="31" ht="40" customHeight="1">
      <x:c r="A31" s="9" t="str">
        <x:v>M025</x:v>
      </x:c>
      <x:c r="B31" s="9" t="n">
        <x:v>4</x:v>
      </x:c>
      <x:c r="C31" s="9" t="str">
        <x:v>SG4</x:v>
      </x:c>
      <x:c r="D31" s="9" t="str">
        <x:v>Tech lead</x:v>
      </x:c>
      <x:c r="E31" s="11" t="n">
        <x:v>5</x:v>
      </x:c>
      <x:c r="F31" s="9" t="str">
        <x:v>Review birth/outcome and child data integrity</x:v>
      </x:c>
      <x:c r="G31" s="9" t="str">
        <x:v>M003</x:v>
      </x:c>
      <x:c r="H31" s="9" t="str">
        <x:v>Stages 4–6 R02 R04</x:v>
      </x:c>
      <x:c r="I31" s="9" t="str">
        <x:v>Per-child outcomes; unknown history; independent maternal/child lifecycle and constraints agreed.</x:v>
      </x:c>
      <x:c r="J31" s="9" t="str">
        <x:v>Pediatric reviewer</x:v>
      </x:c>
      <x:c r="K31" s="10" t="str">
        <x:v>Not started</x:v>
      </x:c>
      <x:c r="L31" s="10" t="str"/>
      <x:c r="M31" s="10" t="str">
        <x:v>Pending</x:v>
      </x:c>
      <x:c r="N31" s="13"/>
      <x:c r="O31" s="10" t="str"/>
      <x:c r="P31" s="10" t="str"/>
      <x:c r="Q31" s="9" t="n">
        <x:f>IF(AND(K31="Done",M31="Accepted",LEN(L31)&gt;0,LEN(P31)&gt;0),1,0)</x:f>
        <x:v>0</x:v>
      </x:c>
      <x:c r="R31" s="26" t="str">
        <x:v>F021, F022, T014</x:v>
      </x:c>
    </x:row>
    <x:row r="32" ht="40" customHeight="1">
      <x:c r="A32" s="5" t="str">
        <x:v>M026</x:v>
      </x:c>
      <x:c r="B32" s="5" t="n">
        <x:v>4</x:v>
      </x:c>
      <x:c r="C32" s="5" t="str">
        <x:v>SG4</x:v>
      </x:c>
      <x:c r="D32" s="5" t="str">
        <x:v>Tech lead</x:v>
      </x:c>
      <x:c r="E32" s="12" t="n">
        <x:v>4</x:v>
      </x:c>
      <x:c r="F32" s="5" t="str">
        <x:v>Design message pause and transfer concurrency</x:v>
      </x:c>
      <x:c r="G32" s="5" t="str">
        <x:v>M017 M025</x:v>
      </x:c>
      <x:c r="H32" s="5" t="str">
        <x:v>R04 R10</x:v>
      </x:c>
      <x:c r="I32" s="5" t="str">
        <x:v>Send-time pause, in-flight limits, ownership handover and sibling separation specified for AT17/AT18.</x:v>
      </x:c>
      <x:c r="J32" s="5" t="str">
        <x:v>Doctor</x:v>
      </x:c>
      <x:c r="K32" s="10" t="str">
        <x:v>Not started</x:v>
      </x:c>
      <x:c r="L32" s="10" t="str"/>
      <x:c r="M32" s="10" t="str">
        <x:v>Pending</x:v>
      </x:c>
      <x:c r="N32" s="13"/>
      <x:c r="O32" s="10" t="str"/>
      <x:c r="P32" s="10" t="str"/>
      <x:c r="Q32" s="5" t="n">
        <x:f>IF(AND(K32="Done",M32="Accepted",LEN(L32)&gt;0,LEN(P32)&gt;0),1,0)</x:f>
        <x:v>0</x:v>
      </x:c>
      <x:c r="R32" s="27" t="str">
        <x:v>F026, F027, T015</x:v>
      </x:c>
    </x:row>
    <x:row r="33" ht="40" customHeight="1">
      <x:c r="A33" s="9" t="str">
        <x:v>M027</x:v>
      </x:c>
      <x:c r="B33" s="9" t="n">
        <x:v>4</x:v>
      </x:c>
      <x:c r="C33" s="9" t="str">
        <x:v>SG4</x:v>
      </x:c>
      <x:c r="D33" s="9" t="str">
        <x:v>Developer</x:v>
      </x:c>
      <x:c r="E33" s="11" t="n">
        <x:v>8</x:v>
      </x:c>
      <x:c r="F33" s="9" t="str">
        <x:v>Birth, child linking and separate discharge</x:v>
      </x:c>
      <x:c r="G33" s="9" t="str">
        <x:v>M025</x:v>
      </x:c>
      <x:c r="H33" s="9" t="str">
        <x:v>Stages 4–5 R02 R04</x:v>
      </x:c>
      <x:c r="I33" s="9" t="str">
        <x:v>AT15 AT16 AT29 pass; twins and existing child with incomplete pregnancy history work.</x:v>
      </x:c>
      <x:c r="J33" s="9" t="str">
        <x:v>Tech lead</x:v>
      </x:c>
      <x:c r="K33" s="10" t="str">
        <x:v>Not started</x:v>
      </x:c>
      <x:c r="L33" s="10" t="str"/>
      <x:c r="M33" s="10" t="str">
        <x:v>Pending</x:v>
      </x:c>
      <x:c r="N33" s="13"/>
      <x:c r="O33" s="10" t="str"/>
      <x:c r="P33" s="10" t="str"/>
      <x:c r="Q33" s="9" t="n">
        <x:f>IF(AND(K33="Done",M33="Accepted",LEN(L33)&gt;0,LEN(P33)&gt;0),1,0)</x:f>
        <x:v>0</x:v>
      </x:c>
      <x:c r="R33" s="26" t="str">
        <x:v>F021, F022, F023, T014</x:v>
      </x:c>
    </x:row>
    <x:row r="34" ht="40" customHeight="1">
      <x:c r="A34" s="5" t="str">
        <x:v>M028</x:v>
      </x:c>
      <x:c r="B34" s="5" t="n">
        <x:v>4</x:v>
      </x:c>
      <x:c r="C34" s="5" t="str">
        <x:v>SG4</x:v>
      </x:c>
      <x:c r="D34" s="5" t="str">
        <x:v>Developer</x:v>
      </x:c>
      <x:c r="E34" s="12" t="n">
        <x:v>8</x:v>
      </x:c>
      <x:c r="F34" s="5" t="str">
        <x:v>Loss pause, transfer and readmission</x:v>
      </x:c>
      <x:c r="G34" s="5" t="str">
        <x:v>M026 M027</x:v>
      </x:c>
      <x:c r="H34" s="5" t="str">
        <x:v>R04</x:v>
      </x:c>
      <x:c r="I34" s="5" t="str">
        <x:v>AT17 AT18 pass; maternal support retained; unresolved tasks have receiving owner.</x:v>
      </x:c>
      <x:c r="J34" s="5" t="str">
        <x:v>Tech lead</x:v>
      </x:c>
      <x:c r="K34" s="10" t="str">
        <x:v>Not started</x:v>
      </x:c>
      <x:c r="L34" s="10" t="str"/>
      <x:c r="M34" s="10" t="str">
        <x:v>Pending</x:v>
      </x:c>
      <x:c r="N34" s="13"/>
      <x:c r="O34" s="10" t="str"/>
      <x:c r="P34" s="10" t="str"/>
      <x:c r="Q34" s="5" t="n">
        <x:f>IF(AND(K34="Done",M34="Accepted",LEN(L34)&gt;0,LEN(P34)&gt;0),1,0)</x:f>
        <x:v>0</x:v>
      </x:c>
      <x:c r="R34" s="27" t="str">
        <x:v>F011, F026, F027, F028, T015</x:v>
      </x:c>
    </x:row>
    <x:row r="35" ht="40" customHeight="1">
      <x:c r="A35" s="9" t="str">
        <x:v>M029</x:v>
      </x:c>
      <x:c r="B35" s="9" t="n">
        <x:v>4</x:v>
      </x:c>
      <x:c r="C35" s="9" t="str">
        <x:v>SG4</x:v>
      </x:c>
      <x:c r="D35" s="9" t="str">
        <x:v>Developer</x:v>
      </x:c>
      <x:c r="E35" s="11" t="n">
        <x:v>6</x:v>
      </x:c>
      <x:c r="F35" s="9" t="str">
        <x:v>Postpartum and newborn follow-up views</x:v>
      </x:c>
      <x:c r="G35" s="9" t="str">
        <x:v>M011 M027</x:v>
      </x:c>
      <x:c r="H35" s="9" t="str">
        <x:v>Stage 6 R03 R05</x:v>
      </x:c>
      <x:c r="I35" s="9" t="str">
        <x:v>Separate plans, missed-contact work and sensitive concern routing demonstrate correctly.</x:v>
      </x:c>
      <x:c r="J35" s="9" t="str">
        <x:v>Doctor</x:v>
      </x:c>
      <x:c r="K35" s="10" t="str">
        <x:v>Not started</x:v>
      </x:c>
      <x:c r="L35" s="10" t="str"/>
      <x:c r="M35" s="10" t="str">
        <x:v>Pending</x:v>
      </x:c>
      <x:c r="N35" s="13"/>
      <x:c r="O35" s="10" t="str"/>
      <x:c r="P35" s="10" t="str"/>
      <x:c r="Q35" s="9" t="n">
        <x:f>IF(AND(K35="Done",M35="Accepted",LEN(L35)&gt;0,LEN(P35)&gt;0),1,0)</x:f>
        <x:v>0</x:v>
      </x:c>
      <x:c r="R35" s="26" t="str">
        <x:v>F008, F023, F024, F025, F028, T014</x:v>
      </x:c>
    </x:row>
    <x:row r="36" ht="40" customHeight="1">
      <x:c r="A36" s="5" t="str">
        <x:v>M030</x:v>
      </x:c>
      <x:c r="B36" s="5" t="n">
        <x:v>4</x:v>
      </x:c>
      <x:c r="C36" s="5" t="str">
        <x:v>SG4</x:v>
      </x:c>
      <x:c r="D36" s="5" t="str">
        <x:v>Team lead</x:v>
      </x:c>
      <x:c r="E36" s="12" t="n">
        <x:v>6</x:v>
      </x:c>
      <x:c r="F36" s="5" t="str">
        <x:v>Prepare rural and semi-urban scenarios</x:v>
      </x:c>
      <x:c r="G36" s="5" t="str">
        <x:v>M022</x:v>
      </x:c>
      <x:c r="H36" s="5" t="str">
        <x:v>R11 R12</x:v>
      </x:c>
      <x:c r="I36" s="5" t="str">
        <x:v>Facility staff and representative users scheduled; synthetic scenarios and feedback register ready.</x:v>
      </x:c>
      <x:c r="J36" s="5" t="str">
        <x:v>Doctor</x:v>
      </x:c>
      <x:c r="K36" s="10" t="str">
        <x:v>Not started</x:v>
      </x:c>
      <x:c r="L36" s="10" t="str"/>
      <x:c r="M36" s="10" t="str">
        <x:v>Pending</x:v>
      </x:c>
      <x:c r="N36" s="13"/>
      <x:c r="O36" s="10" t="str"/>
      <x:c r="P36" s="10" t="str"/>
      <x:c r="Q36" s="5" t="n">
        <x:f>IF(AND(K36="Done",M36="Accepted",LEN(L36)&gt;0,LEN(P36)&gt;0),1,0)</x:f>
        <x:v>0</x:v>
      </x:c>
      <x:c r="R36" s="27" t="str">
        <x:v>F041</x:v>
      </x:c>
    </x:row>
    <x:row r="37" ht="40" customHeight="1">
      <x:c r="A37" s="9" t="str">
        <x:v>M031</x:v>
      </x:c>
      <x:c r="B37" s="9" t="n">
        <x:v>4</x:v>
      </x:c>
      <x:c r="C37" s="9" t="str">
        <x:v>SG4</x:v>
      </x:c>
      <x:c r="D37" s="9" t="str">
        <x:v>Doctor</x:v>
      </x:c>
      <x:c r="E37" s="11" t="n">
        <x:v>2</x:v>
      </x:c>
      <x:c r="F37" s="9" t="str">
        <x:v>Maternal/pediatric review of birth and loss flow</x:v>
      </x:c>
      <x:c r="G37" s="9" t="str">
        <x:v>M027 M028 M029</x:v>
      </x:c>
      <x:c r="H37" s="9" t="str">
        <x:v>Stages 4–6 R04</x:v>
      </x:c>
      <x:c r="I37" s="9" t="str">
        <x:v>Maternal approval and facility pediatric review recorded separately; corrections assigned.</x:v>
      </x:c>
      <x:c r="J37" s="9" t="str">
        <x:v>Team lead</x:v>
      </x:c>
      <x:c r="K37" s="10" t="str">
        <x:v>Not started</x:v>
      </x:c>
      <x:c r="L37" s="10" t="str"/>
      <x:c r="M37" s="10" t="str">
        <x:v>Pending</x:v>
      </x:c>
      <x:c r="N37" s="13"/>
      <x:c r="O37" s="10" t="str"/>
      <x:c r="P37" s="10" t="str"/>
      <x:c r="Q37" s="9" t="n">
        <x:f>IF(AND(K37="Done",M37="Accepted",LEN(L37)&gt;0,LEN(P37)&gt;0),1,0)</x:f>
        <x:v>0</x:v>
      </x:c>
      <x:c r="R37" s="26" t="str">
        <x:v>F021, F023, F024, F025, F026, F027, F028</x:v>
      </x:c>
    </x:row>
    <x:row r="38" ht="40" customHeight="1">
      <x:c r="A38" s="5" t="str">
        <x:v>M032</x:v>
      </x:c>
      <x:c r="B38" s="5" t="n">
        <x:v>4</x:v>
      </x:c>
      <x:c r="C38" s="5" t="str">
        <x:v>SG4</x:v>
      </x:c>
      <x:c r="D38" s="5" t="str">
        <x:v>Tester</x:v>
      </x:c>
      <x:c r="E38" s="12" t="n">
        <x:v>4</x:v>
      </x:c>
      <x:c r="F38" s="5" t="str">
        <x:v>Exercise twins, discharge, loss and transfer</x:v>
      </x:c>
      <x:c r="G38" s="5" t="str">
        <x:v>M027 M028 M029</x:v>
      </x:c>
      <x:c r="H38" s="5" t="str">
        <x:v>AT15–AT18 AT29</x:v>
      </x:c>
      <x:c r="I38" s="5" t="str">
        <x:v>Run each sibling independently; verify pending and in-flight message behavior.</x:v>
      </x:c>
      <x:c r="J38" s="5" t="str">
        <x:v>Tech lead</x:v>
      </x:c>
      <x:c r="K38" s="10" t="str">
        <x:v>Not started</x:v>
      </x:c>
      <x:c r="L38" s="10" t="str"/>
      <x:c r="M38" s="10" t="str">
        <x:v>Pending</x:v>
      </x:c>
      <x:c r="N38" s="13"/>
      <x:c r="O38" s="10" t="str"/>
      <x:c r="P38" s="10" t="str"/>
      <x:c r="Q38" s="5" t="n">
        <x:f>IF(AND(K38="Done",M38="Accepted",LEN(L38)&gt;0,LEN(P38)&gt;0),1,0)</x:f>
        <x:v>0</x:v>
      </x:c>
      <x:c r="R38" s="27" t="str">
        <x:v>F021, F022, F023, F026, F027, F028, T015</x:v>
      </x:c>
    </x:row>
    <x:row r="39" ht="55" customHeight="1">
      <x:c r="A39" s="9" t="str">
        <x:v>M033</x:v>
      </x:c>
      <x:c r="B39" s="9" t="n">
        <x:v>5</x:v>
      </x:c>
      <x:c r="C39" s="9" t="str">
        <x:v>SG5</x:v>
      </x:c>
      <x:c r="D39" s="9" t="str">
        <x:v>Tech lead</x:v>
      </x:c>
      <x:c r="E39" s="11" t="n">
        <x:v>5</x:v>
      </x:c>
      <x:c r="F39" s="9" t="str">
        <x:v>Review offline draft and child schedule boundaries</x:v>
      </x:c>
      <x:c r="G39" s="9" t="str">
        <x:v>M025</x:v>
      </x:c>
      <x:c r="H39" s="9" t="str">
        <x:v>R05 R08</x:v>
      </x:c>
      <x:c r="I39" s="9" t="str">
        <x:v>Operation IDs, version conflicts and limited local data plan approved; no automatic clinical schedule selection.</x:v>
      </x:c>
      <x:c r="J39" s="9" t="str">
        <x:v>Team lead</x:v>
      </x:c>
      <x:c r="K39" s="10" t="str">
        <x:v>Not started</x:v>
      </x:c>
      <x:c r="L39" s="10" t="str"/>
      <x:c r="M39" s="10" t="str">
        <x:v>Pending</x:v>
      </x:c>
      <x:c r="N39" s="13"/>
      <x:c r="O39" s="10" t="str"/>
      <x:c r="P39" s="10" t="str"/>
      <x:c r="Q39" s="9" t="n">
        <x:f>IF(AND(K39="Done",M39="Accepted",LEN(L39)&gt;0,LEN(P39)&gt;0),1,0)</x:f>
        <x:v>0</x:v>
      </x:c>
      <x:c r="R39" s="26" t="str">
        <x:v>F029, F033, T016</x:v>
      </x:c>
    </x:row>
    <x:row r="40" ht="40" customHeight="1">
      <x:c r="A40" s="5" t="str">
        <x:v>M034</x:v>
      </x:c>
      <x:c r="B40" s="5" t="n">
        <x:v>5</x:v>
      </x:c>
      <x:c r="C40" s="5" t="str">
        <x:v>SG5</x:v>
      </x:c>
      <x:c r="D40" s="5" t="str">
        <x:v>Tech lead</x:v>
      </x:c>
      <x:c r="E40" s="12" t="n">
        <x:v>3</x:v>
      </x:c>
      <x:c r="F40" s="5" t="str">
        <x:v>Review guardian and content withdrawal controls</x:v>
      </x:c>
      <x:c r="G40" s="5" t="str">
        <x:v>M010 M018</x:v>
      </x:c>
      <x:c r="H40" s="5" t="str">
        <x:v>R02 R06</x:v>
      </x:c>
      <x:c r="I40" s="5" t="str">
        <x:v>Guardian authorization and withdrawal/cache invalidation contracts agreed; verification cases specified.</x:v>
      </x:c>
      <x:c r="J40" s="5" t="str">
        <x:v>Pediatric reviewer</x:v>
      </x:c>
      <x:c r="K40" s="10" t="str">
        <x:v>Not started</x:v>
      </x:c>
      <x:c r="L40" s="10" t="str"/>
      <x:c r="M40" s="10" t="str">
        <x:v>Pending</x:v>
      </x:c>
      <x:c r="N40" s="13"/>
      <x:c r="O40" s="10" t="str"/>
      <x:c r="P40" s="10" t="str"/>
      <x:c r="Q40" s="5" t="n">
        <x:f>IF(AND(K40="Done",M40="Accepted",LEN(L40)&gt;0,LEN(P40)&gt;0),1,0)</x:f>
        <x:v>0</x:v>
      </x:c>
      <x:c r="R40" s="27" t="str">
        <x:v>F032, F034, T010, T017</x:v>
      </x:c>
    </x:row>
    <x:row r="41" ht="55" customHeight="1">
      <x:c r="A41" s="9" t="str">
        <x:v>M035</x:v>
      </x:c>
      <x:c r="B41" s="9" t="n">
        <x:v>5</x:v>
      </x:c>
      <x:c r="C41" s="9" t="str">
        <x:v>SG5</x:v>
      </x:c>
      <x:c r="D41" s="9" t="str">
        <x:v>Developer</x:v>
      </x:c>
      <x:c r="E41" s="11" t="n">
        <x:v>8</x:v>
      </x:c>
      <x:c r="F41" s="9" t="str">
        <x:v>Infancy and early-childhood workflows</x:v>
      </x:c>
      <x:c r="G41" s="9" t="str">
        <x:v>M027 M033</x:v>
      </x:c>
      <x:c r="H41" s="9" t="str">
        <x:v>Stages 7–8 R03 R05</x:v>
      </x:c>
      <x:c r="I41" s="9" t="str">
        <x:v>AT19 pass; verified/outside/unknown dose history; no clinical interpretation; child tasks survive maternal closure.</x:v>
      </x:c>
      <x:c r="J41" s="9" t="str">
        <x:v>Pediatric reviewer</x:v>
      </x:c>
      <x:c r="K41" s="10" t="str">
        <x:v>Not started</x:v>
      </x:c>
      <x:c r="L41" s="10" t="str"/>
      <x:c r="M41" s="10" t="str">
        <x:v>Pending</x:v>
      </x:c>
      <x:c r="N41" s="13"/>
      <x:c r="O41" s="10" t="str"/>
      <x:c r="P41" s="10" t="str"/>
      <x:c r="Q41" s="9" t="n">
        <x:f>IF(AND(K41="Done",M41="Accepted",LEN(L41)&gt;0,LEN(P41)&gt;0),1,0)</x:f>
        <x:v>0</x:v>
      </x:c>
      <x:c r="R41" s="26" t="str">
        <x:v>F029, F030, F031</x:v>
      </x:c>
    </x:row>
    <x:row r="42" ht="40" customHeight="1">
      <x:c r="A42" s="5" t="str">
        <x:v>M036</x:v>
      </x:c>
      <x:c r="B42" s="5" t="n">
        <x:v>5</x:v>
      </x:c>
      <x:c r="C42" s="5" t="str">
        <x:v>SG5</x:v>
      </x:c>
      <x:c r="D42" s="5" t="str">
        <x:v>Developer</x:v>
      </x:c>
      <x:c r="E42" s="12" t="n">
        <x:v>8</x:v>
      </x:c>
      <x:c r="F42" s="5" t="str">
        <x:v>Offline field drafts and reconciliation</x:v>
      </x:c>
      <x:c r="G42" s="5" t="str">
        <x:v>M033</x:v>
      </x:c>
      <x:c r="H42" s="5" t="str">
        <x:v>R08</x:v>
      </x:c>
      <x:c r="I42" s="5" t="str">
        <x:v>AT20 pass; retries create one entry and conflicting plan changes cannot be overwritten.</x:v>
      </x:c>
      <x:c r="J42" s="5" t="str">
        <x:v>Tech lead</x:v>
      </x:c>
      <x:c r="K42" s="10" t="str">
        <x:v>Not started</x:v>
      </x:c>
      <x:c r="L42" s="10" t="str"/>
      <x:c r="M42" s="10" t="str">
        <x:v>Pending</x:v>
      </x:c>
      <x:c r="N42" s="13"/>
      <x:c r="O42" s="10" t="str"/>
      <x:c r="P42" s="10" t="str"/>
      <x:c r="Q42" s="5" t="n">
        <x:f>IF(AND(K42="Done",M42="Accepted",LEN(L42)&gt;0,LEN(P42)&gt;0),1,0)</x:f>
        <x:v>0</x:v>
      </x:c>
      <x:c r="R42" s="27" t="str">
        <x:v>F033, T016</x:v>
      </x:c>
    </x:row>
    <x:row r="43" ht="40" customHeight="1">
      <x:c r="A43" s="9" t="str">
        <x:v>M037</x:v>
      </x:c>
      <x:c r="B43" s="9" t="n">
        <x:v>5</x:v>
      </x:c>
      <x:c r="C43" s="9" t="str">
        <x:v>SG5</x:v>
      </x:c>
      <x:c r="D43" s="9" t="str">
        <x:v>Developer</x:v>
      </x:c>
      <x:c r="E43" s="11" t="n">
        <x:v>6</x:v>
      </x:c>
      <x:c r="F43" s="9" t="str">
        <x:v>Guardian permissions and content publishing</x:v>
      </x:c>
      <x:c r="G43" s="9" t="str">
        <x:v>M034</x:v>
      </x:c>
      <x:c r="H43" s="9" t="str">
        <x:v>R02 R06</x:v>
      </x:c>
      <x:c r="I43" s="9" t="str">
        <x:v>AT21 pass; approvals, text/audio versions, revoke and withdrawal paths work.</x:v>
      </x:c>
      <x:c r="J43" s="9" t="str">
        <x:v>Tech lead</x:v>
      </x:c>
      <x:c r="K43" s="10" t="str">
        <x:v>Not started</x:v>
      </x:c>
      <x:c r="L43" s="10" t="str"/>
      <x:c r="M43" s="10" t="str">
        <x:v>Pending</x:v>
      </x:c>
      <x:c r="N43" s="13"/>
      <x:c r="O43" s="10" t="str"/>
      <x:c r="P43" s="10" t="str"/>
      <x:c r="Q43" s="9" t="n">
        <x:f>IF(AND(K43="Done",M43="Accepted",LEN(L43)&gt;0,LEN(P43)&gt;0),1,0)</x:f>
        <x:v>0</x:v>
      </x:c>
      <x:c r="R43" s="26" t="str">
        <x:v>F022, F032, F034, T010, T017</x:v>
      </x:c>
    </x:row>
    <x:row r="44" ht="55" customHeight="1">
      <x:c r="A44" s="5" t="str">
        <x:v>M038</x:v>
      </x:c>
      <x:c r="B44" s="5" t="n">
        <x:v>5</x:v>
      </x:c>
      <x:c r="C44" s="5" t="str">
        <x:v>SG5</x:v>
      </x:c>
      <x:c r="D44" s="5" t="str">
        <x:v>Team lead</x:v>
      </x:c>
      <x:c r="E44" s="12" t="n">
        <x:v>6</x:v>
      </x:c>
      <x:c r="F44" s="5" t="str">
        <x:v>Complete reviewed content production</x:v>
      </x:c>
      <x:c r="G44" s="5" t="str">
        <x:v>M023 M031</x:v>
      </x:c>
      <x:c r="H44" s="5" t="str">
        <x:v>R06</x:v>
      </x:c>
      <x:c r="I44" s="5" t="str">
        <x:v>12 topic packages in English and pilot language prepared; translation/narration resources confirmed.</x:v>
      </x:c>
      <x:c r="J44" s="5" t="str">
        <x:v>Doctor</x:v>
      </x:c>
      <x:c r="K44" s="10" t="str">
        <x:v>Not started</x:v>
      </x:c>
      <x:c r="L44" s="10" t="str"/>
      <x:c r="M44" s="10" t="str">
        <x:v>Pending</x:v>
      </x:c>
      <x:c r="N44" s="13"/>
      <x:c r="O44" s="10" t="str"/>
      <x:c r="P44" s="10" t="str"/>
      <x:c r="Q44" s="5" t="n">
        <x:f>IF(AND(K44="Done",M44="Accepted",LEN(L44)&gt;0,LEN(P44)&gt;0),1,0)</x:f>
        <x:v>0</x:v>
      </x:c>
      <x:c r="R44" s="27" t="str">
        <x:v>F020, F034, F035, T017</x:v>
      </x:c>
    </x:row>
    <x:row r="45" ht="40" customHeight="1">
      <x:c r="A45" s="9" t="str">
        <x:v>M039</x:v>
      </x:c>
      <x:c r="B45" s="9" t="n">
        <x:v>5</x:v>
      </x:c>
      <x:c r="C45" s="9" t="str">
        <x:v>SG5</x:v>
      </x:c>
      <x:c r="D45" s="9" t="str">
        <x:v>Doctor</x:v>
      </x:c>
      <x:c r="E45" s="11" t="n">
        <x:v>2</x:v>
      </x:c>
      <x:c r="F45" s="9" t="str">
        <x:v>Review child schedules and content batch</x:v>
      </x:c>
      <x:c r="G45" s="9" t="str">
        <x:v>M035 M038</x:v>
      </x:c>
      <x:c r="H45" s="9" t="str">
        <x:v>Stages 7–8 R05 R06</x:v>
      </x:c>
      <x:c r="I45" s="9" t="str">
        <x:v>Pediatric reviewer confirms child content; maternal reviewer confirms remaining maternal material.</x:v>
      </x:c>
      <x:c r="J45" s="9" t="str">
        <x:v>Team lead</x:v>
      </x:c>
      <x:c r="K45" s="10" t="str">
        <x:v>Not started</x:v>
      </x:c>
      <x:c r="L45" s="10" t="str"/>
      <x:c r="M45" s="10" t="str">
        <x:v>Pending</x:v>
      </x:c>
      <x:c r="N45" s="13"/>
      <x:c r="O45" s="10" t="str"/>
      <x:c r="P45" s="10" t="str"/>
      <x:c r="Q45" s="9" t="n">
        <x:f>IF(AND(K45="Done",M45="Accepted",LEN(L45)&gt;0,LEN(P45)&gt;0),1,0)</x:f>
        <x:v>0</x:v>
      </x:c>
      <x:c r="R45" s="26" t="str">
        <x:v>F029, F030, F031, F034, F035</x:v>
      </x:c>
    </x:row>
    <x:row r="46" ht="40" customHeight="1">
      <x:c r="A46" s="5" t="str">
        <x:v>M040</x:v>
      </x:c>
      <x:c r="B46" s="5" t="n">
        <x:v>5</x:v>
      </x:c>
      <x:c r="C46" s="5" t="str">
        <x:v>SG5</x:v>
      </x:c>
      <x:c r="D46" s="5" t="str">
        <x:v>Tester</x:v>
      </x:c>
      <x:c r="E46" s="12" t="n">
        <x:v>6</x:v>
      </x:c>
      <x:c r="F46" s="5" t="str">
        <x:v>Test child access and weak-network drafts</x:v>
      </x:c>
      <x:c r="G46" s="5" t="str">
        <x:v>M035 M036 M037</x:v>
      </x:c>
      <x:c r="H46" s="5" t="str">
        <x:v>AT19–AT21 AT29</x:v>
      </x:c>
      <x:c r="I46" s="5" t="str">
        <x:v>Low-end device evidence and unauthorized guardian/record checks recorded.</x:v>
      </x:c>
      <x:c r="J46" s="5" t="str">
        <x:v>Tech lead</x:v>
      </x:c>
      <x:c r="K46" s="10" t="str">
        <x:v>Not started</x:v>
      </x:c>
      <x:c r="L46" s="10" t="str"/>
      <x:c r="M46" s="10" t="str">
        <x:v>Pending</x:v>
      </x:c>
      <x:c r="N46" s="13"/>
      <x:c r="O46" s="10" t="str"/>
      <x:c r="P46" s="10" t="str"/>
      <x:c r="Q46" s="5" t="n">
        <x:f>IF(AND(K46="Done",M46="Accepted",LEN(L46)&gt;0,LEN(P46)&gt;0),1,0)</x:f>
        <x:v>0</x:v>
      </x:c>
      <x:c r="R46" s="27" t="str">
        <x:v>F029, F030, F031, F032, F033, T016</x:v>
      </x:c>
    </x:row>
    <x:row r="47" ht="40" customHeight="1">
      <x:c r="A47" s="9" t="str">
        <x:v>M041</x:v>
      </x:c>
      <x:c r="B47" s="9" t="n">
        <x:v>6</x:v>
      </x:c>
      <x:c r="C47" s="9" t="str">
        <x:v>SG5</x:v>
      </x:c>
      <x:c r="D47" s="9" t="str">
        <x:v>Tech lead</x:v>
      </x:c>
      <x:c r="E47" s="11" t="n">
        <x:v>5</x:v>
      </x:c>
      <x:c r="F47" s="9" t="str">
        <x:v>Review security and complete requirement trace</x:v>
      </x:c>
      <x:c r="G47" s="9" t="str">
        <x:v>M034 M037</x:v>
      </x:c>
      <x:c r="H47" s="9" t="str">
        <x:v>R01–R12</x:v>
      </x:c>
      <x:c r="I47" s="9" t="str">
        <x:v>All mandatory requirements mapped; evidence gaps and dependencies assigned.</x:v>
      </x:c>
      <x:c r="J47" s="9" t="str">
        <x:v>Team lead</x:v>
      </x:c>
      <x:c r="K47" s="10" t="str">
        <x:v>Not started</x:v>
      </x:c>
      <x:c r="L47" s="10" t="str"/>
      <x:c r="M47" s="10" t="str">
        <x:v>Pending</x:v>
      </x:c>
      <x:c r="N47" s="13"/>
      <x:c r="O47" s="10" t="str"/>
      <x:c r="P47" s="10" t="str"/>
      <x:c r="Q47" s="9" t="n">
        <x:f>IF(AND(K47="Done",M47="Accepted",LEN(L47)&gt;0,LEN(P47)&gt;0),1,0)</x:f>
        <x:v>0</x:v>
      </x:c>
      <x:c r="R47" s="26" t="str">
        <x:v>F040, T005, T019</x:v>
      </x:c>
    </x:row>
    <x:row r="48" ht="55" customHeight="1">
      <x:c r="A48" s="5" t="str">
        <x:v>M042</x:v>
      </x:c>
      <x:c r="B48" s="5" t="n">
        <x:v>6</x:v>
      </x:c>
      <x:c r="C48" s="5" t="str">
        <x:v>SG5</x:v>
      </x:c>
      <x:c r="D48" s="5" t="str">
        <x:v>Tech lead</x:v>
      </x:c>
      <x:c r="E48" s="12" t="n">
        <x:v>5</x:v>
      </x:c>
      <x:c r="F48" s="5" t="str">
        <x:v>Prepare release infrastructure and recovery design</x:v>
      </x:c>
      <x:c r="G48" s="5" t="str">
        <x:v>M002 M041</x:v>
      </x:c>
      <x:c r="H48" s="5" t="str">
        <x:v>R10</x:v>
      </x:c>
      <x:c r="I48" s="5" t="str">
        <x:v>Staging/production separation, migration/backup/restore and deployment plan ready; no deployment without approval.</x:v>
      </x:c>
      <x:c r="J48" s="5" t="str">
        <x:v>Team lead</x:v>
      </x:c>
      <x:c r="K48" s="10" t="str">
        <x:v>Not started</x:v>
      </x:c>
      <x:c r="L48" s="10" t="str"/>
      <x:c r="M48" s="10" t="str">
        <x:v>Pending</x:v>
      </x:c>
      <x:c r="N48" s="13"/>
      <x:c r="O48" s="10" t="str"/>
      <x:c r="P48" s="10" t="str"/>
      <x:c r="Q48" s="5" t="n">
        <x:f>IF(AND(K48="Done",M48="Accepted",LEN(L48)&gt;0,LEN(P48)&gt;0),1,0)</x:f>
        <x:v>0</x:v>
      </x:c>
      <x:c r="R48" s="27" t="str">
        <x:v>T020</x:v>
      </x:c>
    </x:row>
    <x:row r="49" ht="40" customHeight="1">
      <x:c r="A49" s="9" t="str">
        <x:v>M043</x:v>
      </x:c>
      <x:c r="B49" s="9" t="n">
        <x:v>6</x:v>
      </x:c>
      <x:c r="C49" s="9" t="str">
        <x:v>SG5</x:v>
      </x:c>
      <x:c r="D49" s="9" t="str">
        <x:v>Developer</x:v>
      </x:c>
      <x:c r="E49" s="11" t="n">
        <x:v>7</x:v>
      </x:c>
      <x:c r="F49" s="9" t="str">
        <x:v>Rights requests, audit views and secure exports</x:v>
      </x:c>
      <x:c r="G49" s="9" t="str">
        <x:v>M005 M037</x:v>
      </x:c>
      <x:c r="H49" s="9" t="str">
        <x:v>R07</x:v>
      </x:c>
      <x:c r="I49" s="9" t="str">
        <x:v>AT22 AT32 pass; scoped export, correction/deletion-review/grievance queue and minimal logs.</x:v>
      </x:c>
      <x:c r="J49" s="9" t="str">
        <x:v>Tech lead</x:v>
      </x:c>
      <x:c r="K49" s="10" t="str">
        <x:v>Not started</x:v>
      </x:c>
      <x:c r="L49" s="10" t="str"/>
      <x:c r="M49" s="10" t="str">
        <x:v>Pending</x:v>
      </x:c>
      <x:c r="N49" s="13"/>
      <x:c r="O49" s="10" t="str"/>
      <x:c r="P49" s="10" t="str"/>
      <x:c r="Q49" s="9" t="n">
        <x:f>IF(AND(K49="Done",M49="Accepted",LEN(L49)&gt;0,LEN(P49)&gt;0),1,0)</x:f>
        <x:v>0</x:v>
      </x:c>
      <x:c r="R49" s="26" t="str">
        <x:v>F025, F036, F037, T006, T009, T018</x:v>
      </x:c>
    </x:row>
    <x:row r="50" ht="40" customHeight="1">
      <x:c r="A50" s="5" t="str">
        <x:v>M044</x:v>
      </x:c>
      <x:c r="B50" s="5" t="n">
        <x:v>6</x:v>
      </x:c>
      <x:c r="C50" s="5" t="str">
        <x:v>SG5</x:v>
      </x:c>
      <x:c r="D50" s="5" t="str">
        <x:v>Developer</x:v>
      </x:c>
      <x:c r="E50" s="12" t="n">
        <x:v>7</x:v>
      </x:c>
      <x:c r="F50" s="5" t="str">
        <x:v>Operational dashboard and reminder pause</x:v>
      </x:c>
      <x:c r="G50" s="5" t="str">
        <x:v>M019 M020</x:v>
      </x:c>
      <x:c r="H50" s="5" t="str">
        <x:v>R10 R11 R12</x:v>
      </x:c>
      <x:c r="I50" s="5" t="str">
        <x:v>AT23 AT30 AT31 pass; backlog, failure queue, ownership, worker restart and cost counters visible.</x:v>
      </x:c>
      <x:c r="J50" s="5" t="str">
        <x:v>Tech lead</x:v>
      </x:c>
      <x:c r="K50" s="10" t="str">
        <x:v>Not started</x:v>
      </x:c>
      <x:c r="L50" s="10" t="str"/>
      <x:c r="M50" s="10" t="str">
        <x:v>Pending</x:v>
      </x:c>
      <x:c r="N50" s="13"/>
      <x:c r="O50" s="10" t="str"/>
      <x:c r="P50" s="10" t="str"/>
      <x:c r="Q50" s="5" t="n">
        <x:f>IF(AND(K50="Done",M50="Accepted",LEN(L50)&gt;0,LEN(P50)&gt;0),1,0)</x:f>
        <x:v>0</x:v>
      </x:c>
      <x:c r="R50" s="27" t="str">
        <x:v>F008, F024, F025, F038, F039, T012, T019</x:v>
      </x:c>
    </x:row>
    <x:row r="51" ht="40" customHeight="1">
      <x:c r="A51" s="9" t="str">
        <x:v>M045</x:v>
      </x:c>
      <x:c r="B51" s="9" t="n">
        <x:v>6</x:v>
      </x:c>
      <x:c r="C51" s="9" t="str">
        <x:v>SG5</x:v>
      </x:c>
      <x:c r="D51" s="9" t="str">
        <x:v>Developer</x:v>
      </x:c>
      <x:c r="E51" s="11" t="n">
        <x:v>6</x:v>
      </x:c>
      <x:c r="F51" s="9" t="str">
        <x:v>Close end-to-end scope gaps and regressions</x:v>
      </x:c>
      <x:c r="G51" s="9" t="str">
        <x:v>M035 M036 M043 M044</x:v>
      </x:c>
      <x:c r="H51" s="9" t="str">
        <x:v>Stages 1–8 R01–R12</x:v>
      </x:c>
      <x:c r="I51" s="9" t="str">
        <x:v>AT01–AT23 AT28–AT32 pass; full journey demo and content coverage complete.</x:v>
      </x:c>
      <x:c r="J51" s="9" t="str">
        <x:v>Tech lead</x:v>
      </x:c>
      <x:c r="K51" s="10" t="str">
        <x:v>Not started</x:v>
      </x:c>
      <x:c r="L51" s="10" t="str"/>
      <x:c r="M51" s="10" t="str">
        <x:v>Pending</x:v>
      </x:c>
      <x:c r="N51" s="13"/>
      <x:c r="O51" s="10" t="str"/>
      <x:c r="P51" s="10" t="str"/>
      <x:c r="Q51" s="9" t="n">
        <x:f>IF(AND(K51="Done",M51="Accepted",LEN(L51)&gt;0,LEN(P51)&gt;0),1,0)</x:f>
        <x:v>0</x:v>
      </x:c>
      <x:c r="R51" s="26" t="str">
        <x:v>F035, F040</x:v>
      </x:c>
    </x:row>
    <x:row r="52" ht="40" customHeight="1">
      <x:c r="A52" s="5" t="str">
        <x:v>M046</x:v>
      </x:c>
      <x:c r="B52" s="5" t="n">
        <x:v>6</x:v>
      </x:c>
      <x:c r="C52" s="5" t="str">
        <x:v>SG5</x:v>
      </x:c>
      <x:c r="D52" s="5" t="str">
        <x:v>Team lead</x:v>
      </x:c>
      <x:c r="E52" s="12" t="n">
        <x:v>7</x:v>
      </x:c>
      <x:c r="F52" s="5" t="str">
        <x:v>Approve feature completeness and pilot operations draft</x:v>
      </x:c>
      <x:c r="G52" s="5" t="str">
        <x:v>M041 M045</x:v>
      </x:c>
      <x:c r="H52" s="5" t="str">
        <x:v>R11 R12</x:v>
      </x:c>
      <x:c r="I52" s="5" t="str">
        <x:v>SG5 scope checklist; named support/backup; budget/rights/retention review owners; no silent cuts.</x:v>
      </x:c>
      <x:c r="J52" s="5" t="str">
        <x:v>Doctor</x:v>
      </x:c>
      <x:c r="K52" s="10" t="str">
        <x:v>Not started</x:v>
      </x:c>
      <x:c r="L52" s="10" t="str"/>
      <x:c r="M52" s="10" t="str">
        <x:v>Pending</x:v>
      </x:c>
      <x:c r="N52" s="13"/>
      <x:c r="O52" s="10" t="str"/>
      <x:c r="P52" s="10" t="str"/>
      <x:c r="Q52" s="5" t="n">
        <x:f>IF(AND(K52="Done",M52="Accepted",LEN(L52)&gt;0,LEN(P52)&gt;0),1,0)</x:f>
        <x:v>0</x:v>
      </x:c>
      <x:c r="R52" s="27" t="str">
        <x:v>F036, F038, F039, F042, T019, T020</x:v>
      </x:c>
    </x:row>
    <x:row r="53" ht="40" customHeight="1">
      <x:c r="A53" s="9" t="str">
        <x:v>M047</x:v>
      </x:c>
      <x:c r="B53" s="9" t="n">
        <x:v>6</x:v>
      </x:c>
      <x:c r="C53" s="9" t="str">
        <x:v>SG5</x:v>
      </x:c>
      <x:c r="D53" s="9" t="str">
        <x:v>Doctor</x:v>
      </x:c>
      <x:c r="E53" s="11" t="n">
        <x:v>2</x:v>
      </x:c>
      <x:c r="F53" s="9" t="str">
        <x:v>Review complete journey and all content approvals</x:v>
      </x:c>
      <x:c r="G53" s="9" t="str">
        <x:v>M039 M045</x:v>
      </x:c>
      <x:c r="H53" s="9" t="str">
        <x:v>R05 R06 R11</x:v>
      </x:c>
      <x:c r="I53" s="9" t="str">
        <x:v>12 topic packages signed or blocked; clinical feedback retested.</x:v>
      </x:c>
      <x:c r="J53" s="9" t="str">
        <x:v>Team lead</x:v>
      </x:c>
      <x:c r="K53" s="10" t="str">
        <x:v>Not started</x:v>
      </x:c>
      <x:c r="L53" s="10" t="str"/>
      <x:c r="M53" s="10" t="str">
        <x:v>Pending</x:v>
      </x:c>
      <x:c r="N53" s="13"/>
      <x:c r="O53" s="10" t="str"/>
      <x:c r="P53" s="10" t="str"/>
      <x:c r="Q53" s="9" t="n">
        <x:f>IF(AND(K53="Done",M53="Accepted",LEN(L53)&gt;0,LEN(P53)&gt;0),1,0)</x:f>
        <x:v>0</x:v>
      </x:c>
      <x:c r="R53" s="26" t="str">
        <x:v>F034, F035, F040, T017</x:v>
      </x:c>
    </x:row>
    <x:row r="54" ht="40" customHeight="1">
      <x:c r="A54" s="5" t="str">
        <x:v>M048</x:v>
      </x:c>
      <x:c r="B54" s="5" t="n">
        <x:v>6</x:v>
      </x:c>
      <x:c r="C54" s="5" t="str">
        <x:v>SG5</x:v>
      </x:c>
      <x:c r="D54" s="5" t="str">
        <x:v>Tester</x:v>
      </x:c>
      <x:c r="E54" s="12" t="n">
        <x:v>6</x:v>
      </x:c>
      <x:c r="F54" s="5" t="str">
        <x:v>Run complete functional acceptance suite</x:v>
      </x:c>
      <x:c r="G54" s="5" t="str">
        <x:v>M045</x:v>
      </x:c>
      <x:c r="H54" s="5" t="str">
        <x:v>AT01–AT23 AT28–AT32</x:v>
      </x:c>
      <x:c r="I54" s="5" t="str">
        <x:v>Evidence at candidate SHA; all failures owned; critical/high defects block gate.</x:v>
      </x:c>
      <x:c r="J54" s="5" t="str">
        <x:v>Tech lead</x:v>
      </x:c>
      <x:c r="K54" s="10" t="str">
        <x:v>Not started</x:v>
      </x:c>
      <x:c r="L54" s="10" t="str"/>
      <x:c r="M54" s="10" t="str">
        <x:v>Pending</x:v>
      </x:c>
      <x:c r="N54" s="13"/>
      <x:c r="O54" s="10" t="str"/>
      <x:c r="P54" s="10" t="str"/>
      <x:c r="Q54" s="5" t="n">
        <x:f>IF(AND(K54="Done",M54="Accepted",LEN(L54)&gt;0,LEN(P54)&gt;0),1,0)</x:f>
        <x:v>0</x:v>
      </x:c>
      <x:c r="R54" s="27" t="str">
        <x:v>F036, F037, F038, F040, T018</x:v>
      </x:c>
    </x:row>
    <x:row r="55" ht="40" customHeight="1">
      <x:c r="A55" s="9" t="str">
        <x:v>M049</x:v>
      </x:c>
      <x:c r="B55" s="9" t="n">
        <x:v>7</x:v>
      </x:c>
      <x:c r="C55" s="9" t="str">
        <x:v>SG6</x:v>
      </x:c>
      <x:c r="D55" s="9" t="str">
        <x:v>Tech lead</x:v>
      </x:c>
      <x:c r="E55" s="11" t="n">
        <x:v>5</x:v>
      </x:c>
      <x:c r="F55" s="9" t="str">
        <x:v>Run restore, rollback and load drills</x:v>
      </x:c>
      <x:c r="G55" s="9" t="str">
        <x:v>M042 M045</x:v>
      </x:c>
      <x:c r="H55" s="9" t="str">
        <x:v>R10 R12</x:v>
      </x:c>
      <x:c r="I55" s="9" t="str">
        <x:v>AT25 AT26 pass with measured timings and agreed network/load profile.</x:v>
      </x:c>
      <x:c r="J55" s="9" t="str">
        <x:v>Tester</x:v>
      </x:c>
      <x:c r="K55" s="10" t="str">
        <x:v>Not started</x:v>
      </x:c>
      <x:c r="L55" s="10" t="str"/>
      <x:c r="M55" s="10" t="str">
        <x:v>Pending</x:v>
      </x:c>
      <x:c r="N55" s="13"/>
      <x:c r="O55" s="10" t="str"/>
      <x:c r="P55" s="10" t="str"/>
      <x:c r="Q55" s="9" t="n">
        <x:f>IF(AND(K55="Done",M55="Accepted",LEN(L55)&gt;0,LEN(P55)&gt;0),1,0)</x:f>
        <x:v>0</x:v>
      </x:c>
      <x:c r="R55" s="26" t="str">
        <x:v>T021, T022</x:v>
      </x:c>
    </x:row>
    <x:row r="56" ht="40" customHeight="1">
      <x:c r="A56" s="5" t="str">
        <x:v>M050</x:v>
      </x:c>
      <x:c r="B56" s="5" t="n">
        <x:v>7</x:v>
      </x:c>
      <x:c r="C56" s="5" t="str">
        <x:v>SG6</x:v>
      </x:c>
      <x:c r="D56" s="5" t="str">
        <x:v>Tech lead</x:v>
      </x:c>
      <x:c r="E56" s="12" t="n">
        <x:v>4</x:v>
      </x:c>
      <x:c r="F56" s="5" t="str">
        <x:v>Review security and triage field findings</x:v>
      </x:c>
      <x:c r="G56" s="5" t="str">
        <x:v>M041 M048</x:v>
      </x:c>
      <x:c r="H56" s="5" t="str">
        <x:v>R02 R07 R10</x:v>
      </x:c>
      <x:c r="I56" s="5" t="str">
        <x:v>No critical/high unresolved security defect; logging, secrets and permissions reviewed.</x:v>
      </x:c>
      <x:c r="J56" s="5" t="str">
        <x:v>Team lead</x:v>
      </x:c>
      <x:c r="K56" s="10" t="str">
        <x:v>Not started</x:v>
      </x:c>
      <x:c r="L56" s="10" t="str"/>
      <x:c r="M56" s="10" t="str">
        <x:v>Pending</x:v>
      </x:c>
      <x:c r="N56" s="13"/>
      <x:c r="O56" s="10" t="str"/>
      <x:c r="P56" s="10" t="str"/>
      <x:c r="Q56" s="5" t="n">
        <x:f>IF(AND(K56="Done",M56="Accepted",LEN(L56)&gt;0,LEN(P56)&gt;0),1,0)</x:f>
        <x:v>0</x:v>
      </x:c>
      <x:c r="R56" s="27" t="str">
        <x:v>T005</x:v>
      </x:c>
    </x:row>
    <x:row r="57" ht="40" customHeight="1">
      <x:c r="A57" s="9" t="str">
        <x:v>M051</x:v>
      </x:c>
      <x:c r="B57" s="9" t="n">
        <x:v>7</x:v>
      </x:c>
      <x:c r="C57" s="9" t="str">
        <x:v>SG6</x:v>
      </x:c>
      <x:c r="D57" s="9" t="str">
        <x:v>Developer</x:v>
      </x:c>
      <x:c r="E57" s="11" t="n">
        <x:v>8</x:v>
      </x:c>
      <x:c r="F57" s="9" t="str">
        <x:v>Fix observed usability and reliability defects</x:v>
      </x:c>
      <x:c r="G57" s="9" t="str">
        <x:v>M048</x:v>
      </x:c>
      <x:c r="H57" s="9" t="str">
        <x:v>R08 R12</x:v>
      </x:c>
      <x:c r="I57" s="9" t="str">
        <x:v>AT24 findings corrected and rerun on rural/semi-urban scenarios.</x:v>
      </x:c>
      <x:c r="J57" s="9" t="str">
        <x:v>Tester</x:v>
      </x:c>
      <x:c r="K57" s="10" t="str">
        <x:v>Not started</x:v>
      </x:c>
      <x:c r="L57" s="10" t="str"/>
      <x:c r="M57" s="10" t="str">
        <x:v>Pending</x:v>
      </x:c>
      <x:c r="N57" s="13"/>
      <x:c r="O57" s="10" t="str"/>
      <x:c r="P57" s="10" t="str"/>
      <x:c r="Q57" s="9" t="n">
        <x:f>IF(AND(K57="Done",M57="Accepted",LEN(L57)&gt;0,LEN(P57)&gt;0),1,0)</x:f>
        <x:v>0</x:v>
      </x:c>
      <x:c r="R57" s="26" t="str">
        <x:v>F041, T022</x:v>
      </x:c>
    </x:row>
    <x:row r="58" ht="40" customHeight="1">
      <x:c r="A58" s="5" t="str">
        <x:v>M052</x:v>
      </x:c>
      <x:c r="B58" s="5" t="n">
        <x:v>7</x:v>
      </x:c>
      <x:c r="C58" s="5" t="str">
        <x:v>SG6</x:v>
      </x:c>
      <x:c r="D58" s="5" t="str">
        <x:v>Developer</x:v>
      </x:c>
      <x:c r="E58" s="12" t="n">
        <x:v>8</x:v>
      </x:c>
      <x:c r="F58" s="5" t="str">
        <x:v>Resolve regression and release hardening defects</x:v>
      </x:c>
      <x:c r="G58" s="5" t="str">
        <x:v>M049 M050</x:v>
      </x:c>
      <x:c r="H58" s="5" t="str">
        <x:v>R10</x:v>
      </x:c>
      <x:c r="I58" s="5" t="str">
        <x:v>Recovery, stale content, message pause and access regressions retested.</x:v>
      </x:c>
      <x:c r="J58" s="5" t="str">
        <x:v>Tech lead</x:v>
      </x:c>
      <x:c r="K58" s="10" t="str">
        <x:v>Not started</x:v>
      </x:c>
      <x:c r="L58" s="10" t="str"/>
      <x:c r="M58" s="10" t="str">
        <x:v>Pending</x:v>
      </x:c>
      <x:c r="N58" s="13"/>
      <x:c r="O58" s="10" t="str"/>
      <x:c r="P58" s="10" t="str"/>
      <x:c r="Q58" s="5" t="n">
        <x:f>IF(AND(K58="Done",M58="Accepted",LEN(L58)&gt;0,LEN(P58)&gt;0),1,0)</x:f>
        <x:v>0</x:v>
      </x:c>
      <x:c r="R58" s="27" t="str">
        <x:v>T021</x:v>
      </x:c>
    </x:row>
    <x:row r="59" ht="40" customHeight="1">
      <x:c r="A59" s="9" t="str">
        <x:v>M053</x:v>
      </x:c>
      <x:c r="B59" s="9" t="n">
        <x:v>7</x:v>
      </x:c>
      <x:c r="C59" s="9" t="str">
        <x:v>SG6</x:v>
      </x:c>
      <x:c r="D59" s="9" t="str">
        <x:v>Team lead</x:v>
      </x:c>
      <x:c r="E59" s="11" t="n">
        <x:v>8</x:v>
      </x:c>
      <x:c r="F59" s="9" t="str">
        <x:v>Conduct field sessions and operational rehearsal</x:v>
      </x:c>
      <x:c r="G59" s="9" t="str">
        <x:v>M030 M046</x:v>
      </x:c>
      <x:c r="H59" s="9" t="str">
        <x:v>R11 R12</x:v>
      </x:c>
      <x:c r="I59" s="9" t="str">
        <x:v>At least 3 users/setting; outcome counts and support rehearsal; AT24 AT27 recorded.</x:v>
      </x:c>
      <x:c r="J59" s="9" t="str">
        <x:v>Doctor</x:v>
      </x:c>
      <x:c r="K59" s="10" t="str">
        <x:v>Not started</x:v>
      </x:c>
      <x:c r="L59" s="10" t="str"/>
      <x:c r="M59" s="10" t="str">
        <x:v>Pending</x:v>
      </x:c>
      <x:c r="N59" s="13"/>
      <x:c r="O59" s="10" t="str"/>
      <x:c r="P59" s="10" t="str"/>
      <x:c r="Q59" s="9" t="n">
        <x:f>IF(AND(K59="Done",M59="Accepted",LEN(L59)&gt;0,LEN(P59)&gt;0),1,0)</x:f>
        <x:v>0</x:v>
      </x:c>
      <x:c r="R59" s="26" t="str">
        <x:v>F014, F039, F041, F042, T022</x:v>
      </x:c>
    </x:row>
    <x:row r="60" ht="40" customHeight="1">
      <x:c r="A60" s="5" t="str">
        <x:v>M054</x:v>
      </x:c>
      <x:c r="B60" s="5" t="n">
        <x:v>7</x:v>
      </x:c>
      <x:c r="C60" s="5" t="str">
        <x:v>SG6</x:v>
      </x:c>
      <x:c r="D60" s="5" t="str">
        <x:v>Doctor</x:v>
      </x:c>
      <x:c r="E60" s="12" t="n">
        <x:v>2</x:v>
      </x:c>
      <x:c r="F60" s="5" t="str">
        <x:v>Validate comprehension and clinical corrections</x:v>
      </x:c>
      <x:c r="G60" s="5" t="str">
        <x:v>M051 M053</x:v>
      </x:c>
      <x:c r="H60" s="5" t="str">
        <x:v>R06 R11 R12</x:v>
      </x:c>
      <x:c r="I60" s="5" t="str">
        <x:v>No safety-critical misunderstanding; maternal and child issues resolved or gate held.</x:v>
      </x:c>
      <x:c r="J60" s="5" t="str">
        <x:v>Team lead</x:v>
      </x:c>
      <x:c r="K60" s="10" t="str">
        <x:v>Not started</x:v>
      </x:c>
      <x:c r="L60" s="10" t="str"/>
      <x:c r="M60" s="10" t="str">
        <x:v>Pending</x:v>
      </x:c>
      <x:c r="N60" s="13"/>
      <x:c r="O60" s="10" t="str"/>
      <x:c r="P60" s="10" t="str"/>
      <x:c r="Q60" s="5" t="n">
        <x:f>IF(AND(K60="Done",M60="Accepted",LEN(L60)&gt;0,LEN(P60)&gt;0),1,0)</x:f>
        <x:v>0</x:v>
      </x:c>
      <x:c r="R60" s="27" t="str">
        <x:v>F041, F042</x:v>
      </x:c>
    </x:row>
    <x:row r="61" ht="40" customHeight="1">
      <x:c r="A61" s="9" t="str">
        <x:v>M055</x:v>
      </x:c>
      <x:c r="B61" s="9" t="n">
        <x:v>7</x:v>
      </x:c>
      <x:c r="C61" s="9" t="str">
        <x:v>SG6</x:v>
      </x:c>
      <x:c r="D61" s="9" t="str">
        <x:v>Tester</x:v>
      </x:c>
      <x:c r="E61" s="11" t="n">
        <x:v>8</x:v>
      </x:c>
      <x:c r="F61" s="9" t="str">
        <x:v>Independent field, resilience and regression verification</x:v>
      </x:c>
      <x:c r="G61" s="9" t="str">
        <x:v>M049 M051 M052</x:v>
      </x:c>
      <x:c r="H61" s="9" t="str">
        <x:v>AT24–AT27</x:v>
      </x:c>
      <x:c r="I61" s="9" t="str">
        <x:v>Repeatable evidence; no reliance on author claims; risk-based regression recorded.</x:v>
      </x:c>
      <x:c r="J61" s="9" t="str">
        <x:v>Tech lead</x:v>
      </x:c>
      <x:c r="K61" s="10" t="str">
        <x:v>Not started</x:v>
      </x:c>
      <x:c r="L61" s="10" t="str"/>
      <x:c r="M61" s="10" t="str">
        <x:v>Pending</x:v>
      </x:c>
      <x:c r="N61" s="13"/>
      <x:c r="O61" s="10" t="str"/>
      <x:c r="P61" s="10" t="str"/>
      <x:c r="Q61" s="9" t="n">
        <x:f>IF(AND(K61="Done",M61="Accepted",LEN(L61)&gt;0,LEN(P61)&gt;0),1,0)</x:f>
        <x:v>0</x:v>
      </x:c>
      <x:c r="R61" s="26" t="str">
        <x:v>F041, F042, T021, T022</x:v>
      </x:c>
    </x:row>
    <x:row r="62" ht="40" customHeight="1">
      <x:c r="A62" s="5" t="str">
        <x:v>M056</x:v>
      </x:c>
      <x:c r="B62" s="5" t="n">
        <x:v>8</x:v>
      </x:c>
      <x:c r="C62" s="5" t="str">
        <x:v>SG7</x:v>
      </x:c>
      <x:c r="D62" s="5" t="str">
        <x:v>Tech lead</x:v>
      </x:c>
      <x:c r="E62" s="12" t="n">
        <x:v>5</x:v>
      </x:c>
      <x:c r="F62" s="5" t="str">
        <x:v>Review candidate, migration and deploy rehearsal</x:v>
      </x:c>
      <x:c r="G62" s="5" t="str">
        <x:v>M049 M052</x:v>
      </x:c>
      <x:c r="H62" s="5" t="str">
        <x:v>R10 R11</x:v>
      </x:c>
      <x:c r="I62" s="5" t="str">
        <x:v>Candidate SHA, reproducible release and restore/rollback check; approvals recorded.</x:v>
      </x:c>
      <x:c r="J62" s="5" t="str">
        <x:v>Team lead</x:v>
      </x:c>
      <x:c r="K62" s="10" t="str">
        <x:v>Not started</x:v>
      </x:c>
      <x:c r="L62" s="10" t="str"/>
      <x:c r="M62" s="10" t="str">
        <x:v>Pending</x:v>
      </x:c>
      <x:c r="N62" s="13"/>
      <x:c r="O62" s="10" t="str"/>
      <x:c r="P62" s="10" t="str"/>
      <x:c r="Q62" s="5" t="n">
        <x:f>IF(AND(K62="Done",M62="Accepted",LEN(L62)&gt;0,LEN(P62)&gt;0),1,0)</x:f>
        <x:v>0</x:v>
      </x:c>
      <x:c r="R62" s="27" t="str">
        <x:v>F043, T020, T021, T023</x:v>
      </x:c>
    </x:row>
    <x:row r="63" ht="40" customHeight="1">
      <x:c r="A63" s="9" t="str">
        <x:v>M057</x:v>
      </x:c>
      <x:c r="B63" s="9" t="n">
        <x:v>8</x:v>
      </x:c>
      <x:c r="C63" s="9" t="str">
        <x:v>SG7</x:v>
      </x:c>
      <x:c r="D63" s="9" t="str">
        <x:v>Tech lead</x:v>
      </x:c>
      <x:c r="E63" s="11" t="n">
        <x:v>4</x:v>
      </x:c>
      <x:c r="F63" s="9" t="str">
        <x:v>Technical release review and bounded fixes</x:v>
      </x:c>
      <x:c r="G63" s="9" t="str">
        <x:v>M055 M056</x:v>
      </x:c>
      <x:c r="H63" s="9" t="str">
        <x:v>R01–R12</x:v>
      </x:c>
      <x:c r="I63" s="9" t="str">
        <x:v>All mandatory evidence current; no critical/high defects; technical sign-off or hold.</x:v>
      </x:c>
      <x:c r="J63" s="9" t="str">
        <x:v>Team lead</x:v>
      </x:c>
      <x:c r="K63" s="10" t="str">
        <x:v>Not started</x:v>
      </x:c>
      <x:c r="L63" s="10" t="str"/>
      <x:c r="M63" s="10" t="str">
        <x:v>Pending</x:v>
      </x:c>
      <x:c r="N63" s="13"/>
      <x:c r="O63" s="10" t="str"/>
      <x:c r="P63" s="10" t="str"/>
      <x:c r="Q63" s="9" t="n">
        <x:f>IF(AND(K63="Done",M63="Accepted",LEN(L63)&gt;0,LEN(P63)&gt;0),1,0)</x:f>
        <x:v>0</x:v>
      </x:c>
      <x:c r="R63" s="26" t="str">
        <x:v>F043, T023</x:v>
      </x:c>
    </x:row>
    <x:row r="64" ht="40" customHeight="1">
      <x:c r="A64" s="5" t="str">
        <x:v>M058</x:v>
      </x:c>
      <x:c r="B64" s="5" t="n">
        <x:v>8</x:v>
      </x:c>
      <x:c r="C64" s="5" t="str">
        <x:v>SG7</x:v>
      </x:c>
      <x:c r="D64" s="5" t="str">
        <x:v>Developer</x:v>
      </x:c>
      <x:c r="E64" s="12" t="n">
        <x:v>8</x:v>
      </x:c>
      <x:c r="F64" s="5" t="str">
        <x:v>Resolve release-candidate defects</x:v>
      </x:c>
      <x:c r="G64" s="5" t="str">
        <x:v>M055</x:v>
      </x:c>
      <x:c r="H64" s="5" t="str">
        <x:v>R01–R12</x:v>
      </x:c>
      <x:c r="I64" s="5" t="str">
        <x:v>Assigned issues fixed and regression rerun; no new features.</x:v>
      </x:c>
      <x:c r="J64" s="5" t="str">
        <x:v>Tech lead</x:v>
      </x:c>
      <x:c r="K64" s="10" t="str">
        <x:v>Not started</x:v>
      </x:c>
      <x:c r="L64" s="10" t="str"/>
      <x:c r="M64" s="10" t="str">
        <x:v>Pending</x:v>
      </x:c>
      <x:c r="N64" s="13"/>
      <x:c r="O64" s="10" t="str"/>
      <x:c r="P64" s="10" t="str"/>
      <x:c r="Q64" s="5" t="n">
        <x:f>IF(AND(K64="Done",M64="Accepted",LEN(L64)&gt;0,LEN(P64)&gt;0),1,0)</x:f>
        <x:v>0</x:v>
      </x:c>
      <x:c r="R64" s="27" t="str">
        <x:v>F043, T023</x:v>
      </x:c>
    </x:row>
    <x:row r="65" ht="40" customHeight="1">
      <x:c r="A65" s="9" t="str">
        <x:v>M059</x:v>
      </x:c>
      <x:c r="B65" s="9" t="n">
        <x:v>8</x:v>
      </x:c>
      <x:c r="C65" s="9" t="str">
        <x:v>SG7</x:v>
      </x:c>
      <x:c r="D65" s="9" t="str">
        <x:v>Developer</x:v>
      </x:c>
      <x:c r="E65" s="11" t="n">
        <x:v>8</x:v>
      </x:c>
      <x:c r="F65" s="9" t="str">
        <x:v>Package setup, training and final demonstration</x:v>
      </x:c>
      <x:c r="G65" s="9" t="str">
        <x:v>M058</x:v>
      </x:c>
      <x:c r="H65" s="9" t="str">
        <x:v>R09 R11</x:v>
      </x:c>
      <x:c r="I65" s="9" t="str">
        <x:v>Fresh checkout instructions; release demo; support handover; candidate evidence pack.</x:v>
      </x:c>
      <x:c r="J65" s="9" t="str">
        <x:v>Tester</x:v>
      </x:c>
      <x:c r="K65" s="10" t="str">
        <x:v>Not started</x:v>
      </x:c>
      <x:c r="L65" s="10" t="str"/>
      <x:c r="M65" s="10" t="str">
        <x:v>Pending</x:v>
      </x:c>
      <x:c r="N65" s="13"/>
      <x:c r="O65" s="10" t="str"/>
      <x:c r="P65" s="10" t="str"/>
      <x:c r="Q65" s="9" t="n">
        <x:f>IF(AND(K65="Done",M65="Accepted",LEN(L65)&gt;0,LEN(P65)&gt;0),1,0)</x:f>
        <x:v>0</x:v>
      </x:c>
      <x:c r="R65" s="26" t="str">
        <x:v>F043, T007, T023</x:v>
      </x:c>
    </x:row>
    <x:row r="66" ht="40" customHeight="1">
      <x:c r="A66" s="5" t="str">
        <x:v>M060</x:v>
      </x:c>
      <x:c r="B66" s="5" t="n">
        <x:v>8</x:v>
      </x:c>
      <x:c r="C66" s="5" t="str">
        <x:v>SG7</x:v>
      </x:c>
      <x:c r="D66" s="5" t="str">
        <x:v>Team lead</x:v>
      </x:c>
      <x:c r="E66" s="12" t="n">
        <x:v>8</x:v>
      </x:c>
      <x:c r="F66" s="5" t="str">
        <x:v>Obtain clinical, technical and operating sign-offs</x:v>
      </x:c>
      <x:c r="G66" s="5" t="str">
        <x:v>M056 M057 M059</x:v>
      </x:c>
      <x:c r="H66" s="5" t="str">
        <x:v>R10 R11 R12</x:v>
      </x:c>
      <x:c r="I66" s="5" t="str">
        <x:v>Staffing, budget, contacts, vendor/privacy review and pilot go/no-go documented separately.</x:v>
      </x:c>
      <x:c r="J66" s="5" t="str">
        <x:v>Doctor</x:v>
      </x:c>
      <x:c r="K66" s="10" t="str">
        <x:v>Not started</x:v>
      </x:c>
      <x:c r="L66" s="10" t="str"/>
      <x:c r="M66" s="10" t="str">
        <x:v>Pending</x:v>
      </x:c>
      <x:c r="N66" s="13"/>
      <x:c r="O66" s="10" t="str"/>
      <x:c r="P66" s="10" t="str"/>
      <x:c r="Q66" s="5" t="n">
        <x:f>IF(AND(K66="Done",M66="Accepted",LEN(L66)&gt;0,LEN(P66)&gt;0),1,0)</x:f>
        <x:v>0</x:v>
      </x:c>
      <x:c r="R66" s="27" t="str">
        <x:v>F043, T023</x:v>
      </x:c>
    </x:row>
    <x:row r="67" ht="40" customHeight="1">
      <x:c r="A67" s="9" t="str">
        <x:v>M061</x:v>
      </x:c>
      <x:c r="B67" s="9" t="n">
        <x:v>8</x:v>
      </x:c>
      <x:c r="C67" s="9" t="str">
        <x:v>SG7</x:v>
      </x:c>
      <x:c r="D67" s="9" t="str">
        <x:v>Doctor</x:v>
      </x:c>
      <x:c r="E67" s="11" t="n">
        <x:v>2</x:v>
      </x:c>
      <x:c r="F67" s="9" t="str">
        <x:v>Final maternal and pediatric clinical acceptance</x:v>
      </x:c>
      <x:c r="G67" s="9" t="str">
        <x:v>M054 M059</x:v>
      </x:c>
      <x:c r="H67" s="9" t="str">
        <x:v>R05 R06 R11</x:v>
      </x:c>
      <x:c r="I67" s="9" t="str">
        <x:v>Signed content/plan versions and clinical acceptance for candidate or explicit hold.</x:v>
      </x:c>
      <x:c r="J67" s="9" t="str">
        <x:v>Team lead</x:v>
      </x:c>
      <x:c r="K67" s="10" t="str">
        <x:v>Not started</x:v>
      </x:c>
      <x:c r="L67" s="10" t="str"/>
      <x:c r="M67" s="10" t="str">
        <x:v>Pending</x:v>
      </x:c>
      <x:c r="N67" s="13"/>
      <x:c r="O67" s="10" t="str"/>
      <x:c r="P67" s="10" t="str"/>
      <x:c r="Q67" s="9" t="n">
        <x:f>IF(AND(K67="Done",M67="Accepted",LEN(L67)&gt;0,LEN(P67)&gt;0),1,0)</x:f>
        <x:v>0</x:v>
      </x:c>
      <x:c r="R67" s="26" t="str">
        <x:v>F043, T023</x:v>
      </x:c>
    </x:row>
    <x:row r="68" ht="40" customHeight="1">
      <x:c r="A68" s="5" t="str">
        <x:v>M062</x:v>
      </x:c>
      <x:c r="B68" s="5" t="n">
        <x:v>8</x:v>
      </x:c>
      <x:c r="C68" s="5" t="str">
        <x:v>SG7</x:v>
      </x:c>
      <x:c r="D68" s="5" t="str">
        <x:v>Tester</x:v>
      </x:c>
      <x:c r="E68" s="12" t="n">
        <x:v>8</x:v>
      </x:c>
      <x:c r="F68" s="5" t="str">
        <x:v>Release acceptance and clean setup verification</x:v>
      </x:c>
      <x:c r="G68" s="5" t="str">
        <x:v>M057 M059</x:v>
      </x:c>
      <x:c r="H68" s="5" t="str">
        <x:v>AT01–AT32</x:v>
      </x:c>
      <x:c r="I68" s="5" t="str">
        <x:v>Mandatory cases passed/current; independent evidence indexed; failed cases prevent sign-off.</x:v>
      </x:c>
      <x:c r="J68" s="5" t="str">
        <x:v>Team lead</x:v>
      </x:c>
      <x:c r="K68" s="10" t="str">
        <x:v>Not started</x:v>
      </x:c>
      <x:c r="L68" s="10" t="str"/>
      <x:c r="M68" s="10" t="str">
        <x:v>Pending</x:v>
      </x:c>
      <x:c r="N68" s="13"/>
      <x:c r="O68" s="10" t="str"/>
      <x:c r="P68" s="10" t="str"/>
      <x:c r="Q68" s="5" t="n">
        <x:f>IF(AND(K68="Done",M68="Accepted",LEN(L68)&gt;0,LEN(P68)&gt;0),1,0)</x:f>
        <x:v>0</x:v>
      </x:c>
      <x:c r="R68" s="27" t="str">
        <x:v>F043, T023</x:v>
      </x:c>
    </x:row>
    <x:row r="69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</x:row>
    <x:row r="7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</x:row>
  </x:sheetData>
  <x:conditionalFormatting sqref="K7:K68">
    <x:cfRule type="containsText" dxfId="0" priority="1" operator="containsText" text="Blocked"/>
  </x:conditionalFormatting>
  <x:conditionalFormatting sqref="A7:P68">
    <x:cfRule type="expression" dxfId="1" priority="2">
      <x:formula>AND($K7="Done",OR($L7="",$M7&lt;&gt;"Accepted",$P7=""))</x:formula>
    </x:cfRule>
  </x:conditionalFormatting>
  <x:dataValidations count="2">
    <x:dataValidation type="list" sqref="K7:K68">
      <x:formula1>"Not started,Ready,In progress,Review,Done,Blocked"</x:formula1>
    </x:dataValidation>
    <x:dataValidation type="list" sqref="M7:M68">
      <x:formula1>"Pending,Accepted,Changes requested"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230d111bbd44ee0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11" hidden="0" customWidth="1"/>
    <x:col min="2" max="2" width="11" hidden="0" customWidth="1"/>
    <x:col min="3" max="3" width="24" hidden="0" customWidth="1"/>
    <x:col min="4" max="4" width="30" hidden="0" customWidth="1"/>
    <x:col min="5" max="5" width="57" hidden="0" customWidth="1"/>
    <x:col min="6" max="6" width="66" hidden="0" customWidth="1"/>
    <x:col min="7" max="7" width="27" hidden="0" customWidth="1"/>
    <x:col min="8" max="8" width="14" hidden="0" customWidth="1"/>
    <x:col min="9" max="9" width="28" hidden="0" customWidth="1"/>
    <x:col min="10" max="10" width="26" hidden="0" customWidth="1"/>
    <x:col min="11" max="11" width="22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</x:row>
    <x:row r="2">
      <x:c r="A2" s="2" t="str">
        <x:v>MatriSathi acceptance scenarios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</x:row>
    <x:row r="3">
      <x:c r="A3" s="3" t="str">
        <x:v>AT01–AT32 are this pack’s suite. Re-run affected cases at later gates and the release candidate.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</x:row>
    <x:row r="5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</x:row>
    <x:row r="6" ht="34" customHeight="1">
      <x:c r="A6" s="8" t="str">
        <x:v>Case</x:v>
      </x:c>
      <x:c r="B6" s="8" t="str">
        <x:v>First gate</x:v>
      </x:c>
      <x:c r="C6" s="8" t="str">
        <x:v>Requirements</x:v>
      </x:c>
      <x:c r="D6" s="8" t="str">
        <x:v>Scenario</x:v>
      </x:c>
      <x:c r="E6" s="8" t="str">
        <x:v>Test steps</x:v>
      </x:c>
      <x:c r="F6" s="8" t="str">
        <x:v>Expected outcome</x:v>
      </x:c>
      <x:c r="G6" s="8" t="str">
        <x:v>Reviewer</x:v>
      </x:c>
      <x:c r="H6" s="8" t="str">
        <x:v>Result</x:v>
      </x:c>
      <x:c r="I6" s="8" t="str">
        <x:v>Evidence link</x:v>
      </x:c>
      <x:c r="J6" s="8" t="str">
        <x:v>Candidate SHA / date</x:v>
      </x:c>
      <x:c r="K6" s="8" t="str">
        <x:v>Actual reviewer</x:v>
      </x:c>
    </x:row>
    <x:row r="7" ht="55" customHeight="1">
      <x:c r="A7" s="9" t="str">
        <x:v>AT01</x:v>
      </x:c>
      <x:c r="B7" s="9" t="str">
        <x:v>SG1</x:v>
      </x:c>
      <x:c r="C7" s="9" t="str">
        <x:v>R02 R07</x:v>
      </x:c>
      <x:c r="D7" s="9" t="str">
        <x:v>Staff login and sessions</x:v>
      </x:c>
      <x:c r="E7" s="9" t="str">
        <x:v>Login with seeded staff; reject invalid/expired tokens; refresh, logout, replay and disable account.</x:v>
      </x:c>
      <x:c r="F7" s="9" t="str">
        <x:v>Valid session works; rotated/revoked sessions fail; generic errors and throttling evidenced.</x:v>
      </x:c>
      <x:c r="G7" s="9" t="str">
        <x:v>Tech lead</x:v>
      </x:c>
      <x:c r="H7" s="10" t="str">
        <x:v>Not run</x:v>
      </x:c>
      <x:c r="I7" s="10" t="str"/>
      <x:c r="J7" s="10" t="str"/>
      <x:c r="K7" s="10" t="str"/>
    </x:row>
    <x:row r="8" ht="55" customHeight="1">
      <x:c r="A8" s="5" t="str">
        <x:v>AT02</x:v>
      </x:c>
      <x:c r="B8" s="5" t="str">
        <x:v>SG1</x:v>
      </x:c>
      <x:c r="C8" s="5" t="str">
        <x:v>R02</x:v>
      </x:c>
      <x:c r="D8" s="5" t="str">
        <x:v>Organization and facility isolation</x:v>
      </x:c>
      <x:c r="E8" s="5" t="str">
        <x:v>Use two organizations, two facilities in one organization, coordinator and org admin; revoke membership.</x:v>
      </x:c>
      <x:c r="F8" s="5" t="str">
        <x:v>Allowed access only; org admin cannot cross organization; same token loses revoked access.</x:v>
      </x:c>
      <x:c r="G8" s="5" t="str">
        <x:v>Tech lead</x:v>
      </x:c>
      <x:c r="H8" s="10" t="str">
        <x:v>Not run</x:v>
      </x:c>
      <x:c r="I8" s="10" t="str"/>
      <x:c r="J8" s="10" t="str"/>
      <x:c r="K8" s="10" t="str"/>
    </x:row>
    <x:row r="9" ht="40" customHeight="1">
      <x:c r="A9" s="9" t="str">
        <x:v>AT03</x:v>
      </x:c>
      <x:c r="B9" s="9" t="str">
        <x:v>SG1</x:v>
      </x:c>
      <x:c r="C9" s="9" t="str">
        <x:v>R02</x:v>
      </x:c>
      <x:c r="D9" s="9" t="str">
        <x:v>Shared phone and reference injection</x:v>
      </x:c>
      <x:c r="E9" s="9" t="str">
        <x:v>Create two people sharing one phone; try linking an inaccessible Person into a new episode.</x:v>
      </x:c>
      <x:c r="F9" s="9" t="str">
        <x:v>People remain distinct; forbidden link and unauthorized search denied without exposing records.</x:v>
      </x:c>
      <x:c r="G9" s="9" t="str">
        <x:v>Tech lead</x:v>
      </x:c>
      <x:c r="H9" s="10" t="str">
        <x:v>Not run</x:v>
      </x:c>
      <x:c r="I9" s="10" t="str"/>
      <x:c r="J9" s="10" t="str"/>
      <x:c r="K9" s="10" t="str"/>
    </x:row>
    <x:row r="10" ht="40" customHeight="1">
      <x:c r="A10" s="5" t="str">
        <x:v>AT04</x:v>
      </x:c>
      <x:c r="B10" s="5" t="str">
        <x:v>SG1</x:v>
      </x:c>
      <x:c r="C10" s="5" t="str">
        <x:v>R07</x:v>
      </x:c>
      <x:c r="D10" s="5" t="str">
        <x:v>Audit integrity</x:v>
      </x:c>
      <x:c r="E10" s="5" t="str">
        <x:v>Create/read records; trigger denied request; try UPDATE/DELETE using runtime DB role.</x:v>
      </x:c>
      <x:c r="F10" s="5" t="str">
        <x:v>Successful and denied events persist with actor/time; runtime cannot alter history; no sensitive payloads.</x:v>
      </x:c>
      <x:c r="G10" s="5" t="str">
        <x:v>Tech lead</x:v>
      </x:c>
      <x:c r="H10" s="10" t="str">
        <x:v>Not run</x:v>
      </x:c>
      <x:c r="I10" s="10" t="str"/>
      <x:c r="J10" s="10" t="str"/>
      <x:c r="K10" s="10" t="str"/>
    </x:row>
    <x:row r="11" ht="40" customHeight="1">
      <x:c r="A11" s="9" t="str">
        <x:v>AT05</x:v>
      </x:c>
      <x:c r="B11" s="9" t="str">
        <x:v>SG1</x:v>
      </x:c>
      <x:c r="C11" s="9" t="str">
        <x:v>R09 R10</x:v>
      </x:c>
      <x:c r="D11" s="9" t="str">
        <x:v>Repeatable foundation</x:v>
      </x:c>
      <x:c r="E11" s="9" t="str">
        <x:v>Fresh checkout; locked install; migrations; real UI login/create/read; reload and restart.</x:v>
      </x:c>
      <x:c r="F11" s="9" t="str">
        <x:v>Documented commands succeed; persisted record shown; CI output tied to SHA.</x:v>
      </x:c>
      <x:c r="G11" s="9" t="str">
        <x:v>Tester</x:v>
      </x:c>
      <x:c r="H11" s="10" t="str">
        <x:v>Not run</x:v>
      </x:c>
      <x:c r="I11" s="10" t="str"/>
      <x:c r="J11" s="10" t="str"/>
      <x:c r="K11" s="10" t="str"/>
    </x:row>
    <x:row r="12" ht="40" customHeight="1">
      <x:c r="A12" s="5" t="str">
        <x:v>AT06</x:v>
      </x:c>
      <x:c r="B12" s="5" t="str">
        <x:v>SG2</x:v>
      </x:c>
      <x:c r="C12" s="5" t="str">
        <x:v>Stages 1–3 R05</x:v>
      </x:c>
      <x:c r="D12" s="5" t="str">
        <x:v>Late/unknown dating and schedules</x:v>
      </x:c>
      <x:c r="E12" s="5" t="str">
        <x:v>Enter late pregnancy and unknown dates; clinician confirms/corrects dating; revise template.</x:v>
      </x:c>
      <x:c r="F12" s="5" t="str">
        <x:v>Unknown stays unknown; only approved plan activates; past events retained; obsolete reminders cancelled.</x:v>
      </x:c>
      <x:c r="G12" s="5" t="str">
        <x:v>Doctor</x:v>
      </x:c>
      <x:c r="H12" s="10" t="str">
        <x:v>Not run</x:v>
      </x:c>
      <x:c r="I12" s="10" t="str"/>
      <x:c r="J12" s="10" t="str"/>
      <x:c r="K12" s="10" t="str"/>
    </x:row>
    <x:row r="13" ht="40" customHeight="1">
      <x:c r="A13" s="9" t="str">
        <x:v>AT07</x:v>
      </x:c>
      <x:c r="B13" s="9" t="str">
        <x:v>SG2</x:v>
      </x:c>
      <x:c r="C13" s="9" t="str">
        <x:v>R03</x:v>
      </x:c>
      <x:c r="D13" s="9" t="str">
        <x:v>Appointments and overdue work</x:v>
      </x:c>
      <x:c r="E13" s="9" t="str">
        <x:v>Request, confirm, miss, reschedule and cancel visit; assigned owner unavailable.</x:v>
      </x:c>
      <x:c r="F13" s="9" t="str">
        <x:v>One clear next action; stale reminders cancelled; owned follow-up and backup; no inferred non-adherence.</x:v>
      </x:c>
      <x:c r="G13" s="9" t="str">
        <x:v>Tester</x:v>
      </x:c>
      <x:c r="H13" s="10" t="str">
        <x:v>Not run</x:v>
      </x:c>
      <x:c r="I13" s="10" t="str"/>
      <x:c r="J13" s="10" t="str"/>
      <x:c r="K13" s="10" t="str"/>
    </x:row>
    <x:row r="14" ht="40" customHeight="1">
      <x:c r="A14" s="5" t="str">
        <x:v>AT08</x:v>
      </x:c>
      <x:c r="B14" s="5" t="str">
        <x:v>SG2</x:v>
      </x:c>
      <x:c r="C14" s="5" t="str">
        <x:v>Stage 2 R03 R07</x:v>
      </x:c>
      <x:c r="D14" s="5" t="str">
        <x:v>Reports and medicine records</x:v>
      </x:c>
      <x:c r="E14" s="5" t="str">
        <x:v>Upload private report; record performed/received; unauthorized user tries clinical review.</x:v>
      </x:c>
      <x:c r="F14" s="5" t="str">
        <x:v>Upload is not review; only clinician marks review; original prescription retained; ambiguous instructions queued.</x:v>
      </x:c>
      <x:c r="G14" s="5" t="str">
        <x:v>Doctor</x:v>
      </x:c>
      <x:c r="H14" s="10" t="str">
        <x:v>Not run</x:v>
      </x:c>
      <x:c r="I14" s="10" t="str"/>
      <x:c r="J14" s="10" t="str"/>
      <x:c r="K14" s="10" t="str"/>
    </x:row>
    <x:row r="15" ht="40" customHeight="1">
      <x:c r="A15" s="9" t="str">
        <x:v>AT09</x:v>
      </x:c>
      <x:c r="B15" s="9" t="str">
        <x:v>SG2</x:v>
      </x:c>
      <x:c r="C15" s="9" t="str">
        <x:v>R03</x:v>
      </x:c>
      <x:c r="D15" s="9" t="str">
        <x:v>Referral closure</x:v>
      </x:c>
      <x:c r="E15" s="9" t="str">
        <x:v>Record sent/contacted/attended/advice/follow-up; try closing only because message sent.</x:v>
      </x:c>
      <x:c r="F15" s="9" t="str">
        <x:v>Closure follows defined state or reason; owner and unresolved work visible.</x:v>
      </x:c>
      <x:c r="G15" s="9" t="str">
        <x:v>Doctor</x:v>
      </x:c>
      <x:c r="H15" s="10" t="str">
        <x:v>Not run</x:v>
      </x:c>
      <x:c r="I15" s="10" t="str"/>
      <x:c r="J15" s="10" t="str"/>
      <x:c r="K15" s="10" t="str"/>
    </x:row>
    <x:row r="16" ht="40" customHeight="1">
      <x:c r="A16" s="5" t="str">
        <x:v>AT10</x:v>
      </x:c>
      <x:c r="B16" s="5" t="str">
        <x:v>SG2</x:v>
      </x:c>
      <x:c r="C16" s="5" t="str">
        <x:v>Stage 3 R06</x:v>
      </x:c>
      <x:c r="D16" s="5" t="str">
        <x:v>Birth plan and urgent help</x:v>
      </x:c>
      <x:c r="E16" s="5" t="str">
        <x:v>Open verified contact route without login/GPS; use web and printed plan.</x:v>
      </x:c>
      <x:c r="F16" s="5" t="str">
        <x:v>Dated contact, alternate and direct dialler available; no dispatch/ETA or chat emergency promise.</x:v>
      </x:c>
      <x:c r="G16" s="5" t="str">
        <x:v>Doctor</x:v>
      </x:c>
      <x:c r="H16" s="10" t="str">
        <x:v>Not run</x:v>
      </x:c>
      <x:c r="I16" s="10" t="str"/>
      <x:c r="J16" s="10" t="str"/>
      <x:c r="K16" s="10" t="str"/>
    </x:row>
    <x:row r="17" ht="40" customHeight="1">
      <x:c r="A17" s="9" t="str">
        <x:v>AT11</x:v>
      </x:c>
      <x:c r="B17" s="9" t="str">
        <x:v>SG3</x:v>
      </x:c>
      <x:c r="C17" s="9" t="str">
        <x:v>R01</x:v>
      </x:c>
      <x:c r="D17" s="9" t="str">
        <x:v>Real outbound messaging</x:v>
      </x:c>
      <x:c r="E17" s="9" t="str">
        <x:v>Send approved template to consenting staff test handset; capture provider status callbacks.</x:v>
      </x:c>
      <x:c r="F17" s="9" t="str">
        <x:v>Actual receipt verified; submitted/delivered/failed distinguished; no patient data in evidence.</x:v>
      </x:c>
      <x:c r="G17" s="9" t="str">
        <x:v>Tech lead</x:v>
      </x:c>
      <x:c r="H17" s="10" t="str">
        <x:v>Not run</x:v>
      </x:c>
      <x:c r="I17" s="10" t="str"/>
      <x:c r="J17" s="10" t="str"/>
      <x:c r="K17" s="10" t="str"/>
    </x:row>
    <x:row r="18" ht="40" customHeight="1">
      <x:c r="A18" s="5" t="str">
        <x:v>AT12</x:v>
      </x:c>
      <x:c r="B18" s="5" t="str">
        <x:v>SG3</x:v>
      </x:c>
      <x:c r="C18" s="5" t="str">
        <x:v>R01 R10</x:v>
      </x:c>
      <x:c r="D18" s="5" t="str">
        <x:v>Retries and stale sends</x:v>
      </x:c>
      <x:c r="E18" s="5" t="str">
        <x:v>Duplicate webhook/job; provider timeout; reschedule, opt out and restart worker.</x:v>
      </x:c>
      <x:c r="F18" s="5" t="str">
        <x:v>No repeated effect; unknown delivery reconciled; send-time eligibility checked; failures owned.</x:v>
      </x:c>
      <x:c r="G18" s="5" t="str">
        <x:v>Tech lead</x:v>
      </x:c>
      <x:c r="H18" s="10" t="str">
        <x:v>Not run</x:v>
      </x:c>
      <x:c r="I18" s="10" t="str"/>
      <x:c r="J18" s="10" t="str"/>
      <x:c r="K18" s="10" t="str"/>
    </x:row>
    <x:row r="19" ht="40" customHeight="1">
      <x:c r="A19" s="9" t="str">
        <x:v>AT13</x:v>
      </x:c>
      <x:c r="B19" s="9" t="str">
        <x:v>SG3</x:v>
      </x:c>
      <x:c r="C19" s="9" t="str">
        <x:v>R01 R02</x:v>
      </x:c>
      <x:c r="D19" s="9" t="str">
        <x:v>Inbound media and identity</x:v>
      </x:c>
      <x:c r="E19" s="9" t="str">
        <x:v>Send real text/voice/photo; shared number ambiguous; unsupported/oversized upload.</x:v>
      </x:c>
      <x:c r="F19" s="9" t="str">
        <x:v>Restricted unlinked queue; staff confirms identity; original audio playable; fallback and owner present.</x:v>
      </x:c>
      <x:c r="G19" s="9" t="str">
        <x:v>Tester</x:v>
      </x:c>
      <x:c r="H19" s="10" t="str">
        <x:v>Not run</x:v>
      </x:c>
      <x:c r="I19" s="10" t="str"/>
      <x:c r="J19" s="10" t="str"/>
      <x:c r="K19" s="10" t="str"/>
    </x:row>
    <x:row r="20" ht="55" customHeight="1">
      <x:c r="A20" s="5" t="str">
        <x:v>AT14</x:v>
      </x:c>
      <x:c r="B20" s="5" t="str">
        <x:v>SG3</x:v>
      </x:c>
      <x:c r="C20" s="5" t="str">
        <x:v>R01 R06</x:v>
      </x:c>
      <x:c r="D20" s="5" t="str">
        <x:v>Audio and channel preferences</x:v>
      </x:c>
      <x:c r="E20" s="5" t="str">
        <x:v>Play approved audio on web and permitted WhatsApp route; change language, safe timing, detail and opt-out.</x:v>
      </x:c>
      <x:c r="F20" s="5" t="str">
        <x:v>Text equivalent visible; preferences honored; fallback works; no generated clinical answer.</x:v>
      </x:c>
      <x:c r="G20" s="5" t="str">
        <x:v>Doctor</x:v>
      </x:c>
      <x:c r="H20" s="10" t="str">
        <x:v>Not run</x:v>
      </x:c>
      <x:c r="I20" s="10" t="str"/>
      <x:c r="J20" s="10" t="str"/>
      <x:c r="K20" s="10" t="str"/>
    </x:row>
    <x:row r="21" ht="40" customHeight="1">
      <x:c r="A21" s="9" t="str">
        <x:v>AT15</x:v>
      </x:c>
      <x:c r="B21" s="9" t="str">
        <x:v>SG4</x:v>
      </x:c>
      <x:c r="C21" s="9" t="str">
        <x:v>Stages 4–5 R02</x:v>
      </x:c>
      <x:c r="D21" s="9" t="str">
        <x:v>Birth and twins</x:v>
      </x:c>
      <x:c r="E21" s="9" t="str">
        <x:v>Record birth with two children; update one child and leave other unchanged.</x:v>
      </x:c>
      <x:c r="F21" s="9" t="str">
        <x:v>Distinct identities and histories; unknown facts allowed; siblings unaffected.</x:v>
      </x:c>
      <x:c r="G21" s="9" t="str">
        <x:v>Pediatric reviewer</x:v>
      </x:c>
      <x:c r="H21" s="10" t="str">
        <x:v>Not run</x:v>
      </x:c>
      <x:c r="I21" s="10" t="str"/>
      <x:c r="J21" s="10" t="str"/>
      <x:c r="K21" s="10" t="str"/>
    </x:row>
    <x:row r="22" ht="40" customHeight="1">
      <x:c r="A22" s="5" t="str">
        <x:v>AT16</x:v>
      </x:c>
      <x:c r="B22" s="5" t="str">
        <x:v>SG4</x:v>
      </x:c>
      <x:c r="C22" s="5" t="str">
        <x:v>Stage 5 R04</x:v>
      </x:c>
      <x:c r="D22" s="5" t="str">
        <x:v>Separate discharge</x:v>
      </x:c>
      <x:c r="E22" s="5" t="str">
        <x:v>Record mother and each child discharged on different dates with approved follow-up.</x:v>
      </x:c>
      <x:c r="F22" s="5" t="str">
        <x:v>Each approval and instructions independent; no metric automatically clears discharge.</x:v>
      </x:c>
      <x:c r="G22" s="5" t="str">
        <x:v>Doctor + Pediatric reviewer</x:v>
      </x:c>
      <x:c r="H22" s="10" t="str">
        <x:v>Not run</x:v>
      </x:c>
      <x:c r="I22" s="10" t="str"/>
      <x:c r="J22" s="10" t="str"/>
      <x:c r="K22" s="10" t="str"/>
    </x:row>
    <x:row r="23" ht="55" customHeight="1">
      <x:c r="A23" s="9" t="str">
        <x:v>AT17</x:v>
      </x:c>
      <x:c r="B23" s="9" t="str">
        <x:v>SG4</x:v>
      </x:c>
      <x:c r="C23" s="9" t="str">
        <x:v>R04</x:v>
      </x:c>
      <x:c r="D23" s="9" t="str">
        <x:v>Loss and message pause</x:v>
      </x:c>
      <x:c r="E23" s="9" t="str">
        <x:v>Report loss while incompatible messages queued; confirm outcome; one twin affected.</x:v>
      </x:c>
      <x:c r="F23" s="9" t="str">
        <x:v>Pause applies immediately to unsent incompatible messages; final send rechecks; in-flight limit logged; maternal support and sibling retained.</x:v>
      </x:c>
      <x:c r="G23" s="9" t="str">
        <x:v>Doctor</x:v>
      </x:c>
      <x:c r="H23" s="10" t="str">
        <x:v>Not run</x:v>
      </x:c>
      <x:c r="I23" s="10" t="str"/>
      <x:c r="J23" s="10" t="str"/>
      <x:c r="K23" s="10" t="str"/>
    </x:row>
    <x:row r="24" ht="40" customHeight="1">
      <x:c r="A24" s="5" t="str">
        <x:v>AT18</x:v>
      </x:c>
      <x:c r="B24" s="5" t="str">
        <x:v>SG4</x:v>
      </x:c>
      <x:c r="C24" s="5" t="str">
        <x:v>R04</x:v>
      </x:c>
      <x:c r="D24" s="5" t="str">
        <x:v>Transfer and readmission</x:v>
      </x:c>
      <x:c r="E24" s="5" t="str">
        <x:v>Transfer with open tasks and receiving owner; record readmission and original service dates.</x:v>
      </x:c>
      <x:c r="F24" s="5" t="str">
        <x:v>Authorized sharing; no silent closure; handover accepted; historical dates/source preserved.</x:v>
      </x:c>
      <x:c r="G24" s="5" t="str">
        <x:v>Doctor</x:v>
      </x:c>
      <x:c r="H24" s="10" t="str">
        <x:v>Not run</x:v>
      </x:c>
      <x:c r="I24" s="10" t="str"/>
      <x:c r="J24" s="10" t="str"/>
      <x:c r="K24" s="10" t="str"/>
    </x:row>
    <x:row r="25" ht="40" customHeight="1">
      <x:c r="A25" s="9" t="str">
        <x:v>AT19</x:v>
      </x:c>
      <x:c r="B25" s="9" t="str">
        <x:v>SG5</x:v>
      </x:c>
      <x:c r="C25" s="9" t="str">
        <x:v>Stages 7–8 R03 R05</x:v>
      </x:c>
      <x:c r="D25" s="9" t="str">
        <x:v>Child plans and vaccine records</x:v>
      </x:c>
      <x:c r="E25" s="9" t="str">
        <x:v>Add unknown/outside dose; verify; clinician changes plan; close maternal episode.</x:v>
      </x:c>
      <x:c r="F25" s="9" t="str">
        <x:v>No duplicate dose/reminder; raw measurements only; child work continues independently.</x:v>
      </x:c>
      <x:c r="G25" s="9" t="str">
        <x:v>Pediatric reviewer</x:v>
      </x:c>
      <x:c r="H25" s="10" t="str">
        <x:v>Not run</x:v>
      </x:c>
      <x:c r="I25" s="10" t="str"/>
      <x:c r="J25" s="10" t="str"/>
      <x:c r="K25" s="10" t="str"/>
    </x:row>
    <x:row r="26" ht="55" customHeight="1">
      <x:c r="A26" s="5" t="str">
        <x:v>AT20</x:v>
      </x:c>
      <x:c r="B26" s="5" t="str">
        <x:v>SG5</x:v>
      </x:c>
      <x:c r="C26" s="5" t="str">
        <x:v>R08</x:v>
      </x:c>
      <x:c r="D26" s="5" t="str">
        <x:v>Offline and conflicts</x:v>
      </x:c>
      <x:c r="E26" s="5" t="str">
        <x:v>Assigned worker drafts offline; newer online plan exists; retry sync; logout.</x:v>
      </x:c>
      <x:c r="F26" s="5" t="str">
        <x:v>One visit per operation ID; conflict cannot overwrite clinical plan; visible pending/failed; local data cleared as designed.</x:v>
      </x:c>
      <x:c r="G26" s="5" t="str">
        <x:v>Tech lead</x:v>
      </x:c>
      <x:c r="H26" s="10" t="str">
        <x:v>Not run</x:v>
      </x:c>
      <x:c r="I26" s="10" t="str"/>
      <x:c r="J26" s="10" t="str"/>
      <x:c r="K26" s="10" t="str"/>
    </x:row>
    <x:row r="27" ht="55" customHeight="1">
      <x:c r="A27" s="9" t="str">
        <x:v>AT21</x:v>
      </x:c>
      <x:c r="B27" s="9" t="str">
        <x:v>SG5</x:v>
      </x:c>
      <x:c r="C27" s="9" t="str">
        <x:v>R06</x:v>
      </x:c>
      <x:c r="D27" s="9" t="str">
        <x:v>Content governance</x:v>
      </x:c>
      <x:c r="E27" s="9" t="str">
        <x:v>Review 12 topic packages; publish/withdraw one version; use previously cached public content.</x:v>
      </x:c>
      <x:c r="F27" s="9" t="str">
        <x:v>Only approved versions newly distributed; text/audio and language match; cache expiry/withdrawal follows documented limits.</x:v>
      </x:c>
      <x:c r="G27" s="9" t="str">
        <x:v>Doctor + Pediatric reviewer</x:v>
      </x:c>
      <x:c r="H27" s="10" t="str">
        <x:v>Not run</x:v>
      </x:c>
      <x:c r="I27" s="10" t="str"/>
      <x:c r="J27" s="10" t="str"/>
      <x:c r="K27" s="10" t="str"/>
    </x:row>
    <x:row r="28" ht="55" customHeight="1">
      <x:c r="A28" s="5" t="str">
        <x:v>AT22</x:v>
      </x:c>
      <x:c r="B28" s="5" t="str">
        <x:v>SG5</x:v>
      </x:c>
      <x:c r="C28" s="5" t="str">
        <x:v>R07</x:v>
      </x:c>
      <x:c r="D28" s="5" t="str">
        <x:v>Privacy and rights</x:v>
      </x:c>
      <x:c r="E28" s="5" t="str">
        <x:v>Request correction/export/deletion review/grievance; try guessed file/record URL.</x:v>
      </x:c>
      <x:c r="F28" s="5" t="str">
        <x:v>Owned request and response history; scoped export; no automatic clinical record deletion; unauthorized download denied.</x:v>
      </x:c>
      <x:c r="G28" s="5" t="str">
        <x:v>Team lead + Tech lead</x:v>
      </x:c>
      <x:c r="H28" s="10" t="str">
        <x:v>Not run</x:v>
      </x:c>
      <x:c r="I28" s="10" t="str"/>
      <x:c r="J28" s="10" t="str"/>
      <x:c r="K28" s="10" t="str"/>
    </x:row>
    <x:row r="29" ht="40" customHeight="1">
      <x:c r="A29" s="9" t="str">
        <x:v>AT23</x:v>
      </x:c>
      <x:c r="B29" s="9" t="str">
        <x:v>SG5</x:v>
      </x:c>
      <x:c r="C29" s="9" t="str">
        <x:v>R10 R11 R12</x:v>
      </x:c>
      <x:c r="D29" s="9" t="str">
        <x:v>Operational dashboard</x:v>
      </x:c>
      <x:c r="E29" s="9" t="str">
        <x:v>Create missed visit, failed message and overdue inbox case; worker unavailable.</x:v>
      </x:c>
      <x:c r="F29" s="9" t="str">
        <x:v>Owner/backup, actionable failure queue, last-updated time, pause switch and administrative metrics visible.</x:v>
      </x:c>
      <x:c r="G29" s="9" t="str">
        <x:v>Team lead</x:v>
      </x:c>
      <x:c r="H29" s="10" t="str">
        <x:v>Not run</x:v>
      </x:c>
      <x:c r="I29" s="10" t="str"/>
      <x:c r="J29" s="10" t="str"/>
      <x:c r="K29" s="10" t="str"/>
    </x:row>
    <x:row r="30" ht="55" customHeight="1">
      <x:c r="A30" s="5" t="str">
        <x:v>AT24</x:v>
      </x:c>
      <x:c r="B30" s="5" t="str">
        <x:v>SG6</x:v>
      </x:c>
      <x:c r="C30" s="5" t="str">
        <x:v>R08 R12</x:v>
      </x:c>
      <x:c r="D30" s="5" t="str">
        <x:v>Representative usability</x:v>
      </x:c>
      <x:c r="E30" s="5" t="str">
        <x:v>Observe 3 rural and 3 semi-urban users including shared-phone/limited-literacy cases; next action/audio/help.</x:v>
      </x:c>
      <x:c r="F30" s="5" t="str">
        <x:v>At least 5/6 succeed with intended assistance and no safety-critical misunderstanding; failures fixed/retested.</x:v>
      </x:c>
      <x:c r="G30" s="5" t="str">
        <x:v>Tester + Doctor</x:v>
      </x:c>
      <x:c r="H30" s="10" t="str">
        <x:v>Not run</x:v>
      </x:c>
      <x:c r="I30" s="10" t="str"/>
      <x:c r="J30" s="10" t="str"/>
      <x:c r="K30" s="10" t="str"/>
    </x:row>
    <x:row r="31" ht="55" customHeight="1">
      <x:c r="A31" s="9" t="str">
        <x:v>AT25</x:v>
      </x:c>
      <x:c r="B31" s="9" t="str">
        <x:v>SG6</x:v>
      </x:c>
      <x:c r="C31" s="9" t="str">
        <x:v>R10</x:v>
      </x:c>
      <x:c r="D31" s="9" t="str">
        <x:v>Restore and rollback</x:v>
      </x:c>
      <x:c r="E31" s="9" t="str">
        <x:v>Restore records/media/config in isolated staging; verify integrity; rehearse reversible release rollback.</x:v>
      </x:c>
      <x:c r="F31" s="9" t="str">
        <x:v>Measured recovery meets approved RPO ≤24h/RTO ≤4h targets; audit and pending jobs reconciled without resend.</x:v>
      </x:c>
      <x:c r="G31" s="9" t="str">
        <x:v>Tech lead</x:v>
      </x:c>
      <x:c r="H31" s="10" t="str">
        <x:v>Not run</x:v>
      </x:c>
      <x:c r="I31" s="10" t="str"/>
      <x:c r="J31" s="10" t="str"/>
      <x:c r="K31" s="10" t="str"/>
    </x:row>
    <x:row r="32" ht="55" customHeight="1">
      <x:c r="A32" s="5" t="str">
        <x:v>AT26</x:v>
      </x:c>
      <x:c r="B32" s="5" t="str">
        <x:v>SG6</x:v>
      </x:c>
      <x:c r="C32" s="5" t="str">
        <x:v>R12</x:v>
      </x:c>
      <x:c r="D32" s="5" t="str">
        <x:v>Load and weak network</x:v>
      </x:c>
      <x:c r="E32" s="5" t="str">
        <x:v>Use 100 synthetic records, 10 concurrent staff, 200 scheduled messages/day; record network and run length.</x:v>
      </x:c>
      <x:c r="F32" s="5" t="str">
        <x:v>Proposed p95 core non-media views ≤3s under agreed profile; no lost/duplicate jobs; weak network errors recover.</x:v>
      </x:c>
      <x:c r="G32" s="5" t="str">
        <x:v>Tech lead + Tester</x:v>
      </x:c>
      <x:c r="H32" s="10" t="str">
        <x:v>Not run</x:v>
      </x:c>
      <x:c r="I32" s="10" t="str"/>
      <x:c r="J32" s="10" t="str"/>
      <x:c r="K32" s="10" t="str"/>
    </x:row>
    <x:row r="33" ht="40" customHeight="1">
      <x:c r="A33" s="9" t="str">
        <x:v>AT27</x:v>
      </x:c>
      <x:c r="B33" s="9" t="str">
        <x:v>SG6</x:v>
      </x:c>
      <x:c r="C33" s="9" t="str">
        <x:v>R11</x:v>
      </x:c>
      <x:c r="D33" s="9" t="str">
        <x:v>Support and stop rehearsal</x:v>
      </x:c>
      <x:c r="E33" s="9" t="str">
        <x:v>Simulate after-hours request, absent worker, disclosure concern and message-delivery outage.</x:v>
      </x:c>
      <x:c r="F33" s="9" t="str">
        <x:v>Named coordinator, backup, clinical contact and stop procedure work; hours/fallback visible.</x:v>
      </x:c>
      <x:c r="G33" s="9" t="str">
        <x:v>Facility owner</x:v>
      </x:c>
      <x:c r="H33" s="10" t="str">
        <x:v>Not run</x:v>
      </x:c>
      <x:c r="I33" s="10" t="str"/>
      <x:c r="J33" s="10" t="str"/>
      <x:c r="K33" s="10" t="str"/>
    </x:row>
    <x:row r="34" ht="55" customHeight="1">
      <x:c r="A34" s="5" t="str">
        <x:v>AT28</x:v>
      </x:c>
      <x:c r="B34" s="5" t="str">
        <x:v>SG2</x:v>
      </x:c>
      <x:c r="C34" s="5" t="str">
        <x:v>R02 R07</x:v>
      </x:c>
      <x:c r="D34" s="5" t="str">
        <x:v>Patient/caregiver access</x:v>
      </x:c>
      <x:c r="E34" s="5" t="str">
        <x:v>Confirm subject identity on shared phone; grant/revoke adult delegation; test another person on same handset.</x:v>
      </x:c>
      <x:c r="F34" s="5" t="str">
        <x:v>Only authorized subject records; immediate revocation on next request; safe minimal notifications.</x:v>
      </x:c>
      <x:c r="G34" s="5" t="str">
        <x:v>Tech lead</x:v>
      </x:c>
      <x:c r="H34" s="10" t="str">
        <x:v>Not run</x:v>
      </x:c>
      <x:c r="I34" s="10" t="str"/>
      <x:c r="J34" s="10" t="str"/>
      <x:c r="K34" s="10" t="str"/>
    </x:row>
    <x:row r="35" ht="40" customHeight="1">
      <x:c r="A35" s="9" t="str">
        <x:v>AT29</x:v>
      </x:c>
      <x:c r="B35" s="9" t="str">
        <x:v>SG4</x:v>
      </x:c>
      <x:c r="C35" s="9" t="str">
        <x:v>R02 R04</x:v>
      </x:c>
      <x:c r="D35" s="9" t="str">
        <x:v>Child with incomplete history</x:v>
      </x:c>
      <x:c r="E35" s="9" t="str">
        <x:v>Register existing child without known pregnancy dates or episode; verify guardian authority.</x:v>
      </x:c>
      <x:c r="F35" s="9" t="str">
        <x:v>No fabricated pregnancy/history; explicit mother/guardian links; unverified guardian cannot view child records.</x:v>
      </x:c>
      <x:c r="G35" s="9" t="str">
        <x:v>Pediatric reviewer</x:v>
      </x:c>
      <x:c r="H35" s="10" t="str">
        <x:v>Not run</x:v>
      </x:c>
      <x:c r="I35" s="10" t="str"/>
      <x:c r="J35" s="10" t="str"/>
      <x:c r="K35" s="10" t="str"/>
    </x:row>
    <x:row r="36" ht="40" customHeight="1">
      <x:c r="A36" s="5" t="str">
        <x:v>AT30</x:v>
      </x:c>
      <x:c r="B36" s="5" t="str">
        <x:v>SG5</x:v>
      </x:c>
      <x:c r="C36" s="5" t="str">
        <x:v>R01 R10</x:v>
      </x:c>
      <x:c r="D36" s="5" t="str">
        <x:v>Durable job recovery</x:v>
      </x:c>
      <x:c r="E36" s="5" t="str">
        <x:v>Restart API/worker mid-job; run two workers in test; cancel and retry job.</x:v>
      </x:c>
      <x:c r="F36" s="5" t="str">
        <x:v>Durable ownership/leases, dedup and reconciliation; no process-local correctness dependency.</x:v>
      </x:c>
      <x:c r="G36" s="5" t="str">
        <x:v>Tech lead</x:v>
      </x:c>
      <x:c r="H36" s="10" t="str">
        <x:v>Not run</x:v>
      </x:c>
      <x:c r="I36" s="10" t="str"/>
      <x:c r="J36" s="10" t="str"/>
      <x:c r="K36" s="10" t="str"/>
    </x:row>
    <x:row r="37" ht="55" customHeight="1">
      <x:c r="A37" s="9" t="str">
        <x:v>AT31</x:v>
      </x:c>
      <x:c r="B37" s="9" t="str">
        <x:v>SG5</x:v>
      </x:c>
      <x:c r="C37" s="9" t="str">
        <x:v>R09</x:v>
      </x:c>
      <x:c r="D37" s="9" t="str">
        <x:v>AI-disabled behavior</x:v>
      </x:c>
      <x:c r="E37" s="9" t="str">
        <x:v>Disable all optional AI/provider features and execute core journeys and help routing.</x:v>
      </x:c>
      <x:c r="F37" s="9" t="str">
        <x:v>Essential tasks, approved education and human routing still work; no scoring, diagnosis or medical interpretation.</x:v>
      </x:c>
      <x:c r="G37" s="9" t="str">
        <x:v>Doctor + Tech lead</x:v>
      </x:c>
      <x:c r="H37" s="10" t="str">
        <x:v>Not run</x:v>
      </x:c>
      <x:c r="I37" s="10" t="str"/>
      <x:c r="J37" s="10" t="str"/>
      <x:c r="K37" s="10" t="str"/>
    </x:row>
    <x:row r="38" ht="40" customHeight="1">
      <x:c r="A38" s="5" t="str">
        <x:v>AT32</x:v>
      </x:c>
      <x:c r="B38" s="5" t="str">
        <x:v>SG5</x:v>
      </x:c>
      <x:c r="C38" s="5" t="str">
        <x:v>R07 R10</x:v>
      </x:c>
      <x:c r="D38" s="5" t="str">
        <x:v>Files, logs and exports</x:v>
      </x:c>
      <x:c r="E38" s="5" t="str">
        <x:v>Test disallowed upload, signed-link expiry, spreadsheet-like input and sensitive log paths.</x:v>
      </x:c>
      <x:c r="F38" s="5" t="str">
        <x:v>Validated private files; minimal logs; safe scoped export; no secrets or patient text in diagnostics.</x:v>
      </x:c>
      <x:c r="G38" s="5" t="str">
        <x:v>Tech lead</x:v>
      </x:c>
      <x:c r="H38" s="10" t="str">
        <x:v>Not run</x:v>
      </x:c>
      <x:c r="I38" s="10" t="str"/>
      <x:c r="J38" s="10" t="str"/>
      <x:c r="K38" s="10" t="str"/>
    </x:row>
    <x:row r="39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</x:sheetData>
  <x:conditionalFormatting sqref="A7:K38">
    <x:cfRule type="expression" dxfId="4" priority="1">
      <x:formula>AND($H7="Pass",OR($I7="",$J7="",$K7=""))</x:formula>
    </x:cfRule>
  </x:conditionalFormatting>
  <x:dataValidations count="1">
    <x:dataValidation type="list" sqref="H7:H38">
      <x:formula1>"Not run,Pass,Fail,Blocked"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c0c1476f1b9467b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10" hidden="0" customWidth="1"/>
    <x:col min="2" max="2" width="20" hidden="0" customWidth="1"/>
    <x:col min="3" max="3" width="17" hidden="0" customWidth="1"/>
    <x:col min="4" max="4" width="17" hidden="0" customWidth="1"/>
    <x:col min="5" max="5" width="18" hidden="0" customWidth="1"/>
    <x:col min="6" max="6" width="80" hidden="0" customWidth="1"/>
  </x:cols>
  <x:sheetData>
    <x:row r="1">
      <x:c r="A1" s="1"/>
      <x:c r="B1" s="1"/>
      <x:c r="C1" s="1"/>
      <x:c r="D1" s="1"/>
      <x:c r="E1" s="1"/>
      <x:c r="F1" s="1"/>
    </x:row>
    <x:row r="2">
      <x:c r="A2" s="2" t="str">
        <x:v>Weekly capacity and estimates</x:v>
      </x:c>
      <x:c r="B2" s="1"/>
      <x:c r="C2" s="1"/>
      <x:c r="D2" s="1"/>
      <x:c r="E2" s="1"/>
      <x:c r="F2" s="1"/>
    </x:row>
    <x:row r="3">
      <x:c r="A3" s="3" t="str">
        <x:v>Edit available hours to the confirmed commitment. Negative balance requires reassignment or a revised date.</x:v>
      </x:c>
      <x:c r="B3" s="1"/>
      <x:c r="C3" s="1"/>
      <x:c r="D3" s="1"/>
      <x:c r="E3" s="1"/>
      <x:c r="F3" s="1"/>
    </x:row>
    <x:row r="4">
      <x:c r="A4" s="1"/>
      <x:c r="B4" s="1"/>
      <x:c r="C4" s="1"/>
      <x:c r="D4" s="1"/>
      <x:c r="E4" s="1"/>
      <x:c r="F4" s="1"/>
    </x:row>
    <x:row r="5">
      <x:c r="A5" s="1"/>
      <x:c r="B5" s="1"/>
      <x:c r="C5" s="1"/>
      <x:c r="D5" s="1"/>
      <x:c r="E5" s="1"/>
      <x:c r="F5" s="1"/>
    </x:row>
    <x:row r="6" ht="34" customHeight="1">
      <x:c r="A6" s="8" t="str">
        <x:v>Week</x:v>
      </x:c>
      <x:c r="B6" s="8" t="str">
        <x:v>Role</x:v>
      </x:c>
      <x:c r="C6" s="8" t="str">
        <x:v>Available h</x:v>
      </x:c>
      <x:c r="D6" s="8" t="str">
        <x:v>Planned h</x:v>
      </x:c>
      <x:c r="E6" s="8" t="str">
        <x:v>Remaining h</x:v>
      </x:c>
      <x:c r="F6" s="8" t="str">
        <x:v>Action / decision</x:v>
      </x:c>
    </x:row>
    <x:row r="7" ht="36" customHeight="1">
      <x:c r="A7" s="9" t="n">
        <x:v>1</x:v>
      </x:c>
      <x:c r="B7" s="9" t="str">
        <x:v>Team lead</x:v>
      </x:c>
      <x:c r="C7" s="13" t="n">
        <x:v>10</x:v>
      </x:c>
      <x:c r="D7" s="11" t="n">
        <x:f>SUMIFS(Tasks!$E$7:$E$68,Tasks!$B$7:$B$68,A7,Tasks!$D$7:$D$68,B7)</x:f>
        <x:v>7</x:v>
      </x:c>
      <x:c r="E7" s="11" t="n">
        <x:f>C7-D7</x:f>
        <x:v>3</x:v>
      </x:c>
      <x:c r="F7" s="10" t="str"/>
    </x:row>
    <x:row r="8" ht="36" customHeight="1">
      <x:c r="A8" s="5" t="n">
        <x:v>1</x:v>
      </x:c>
      <x:c r="B8" s="5" t="str">
        <x:v>Tech lead</x:v>
      </x:c>
      <x:c r="C8" s="13" t="n">
        <x:v>10</x:v>
      </x:c>
      <x:c r="D8" s="12" t="n">
        <x:f>SUMIFS(Tasks!$E$7:$E$68,Tasks!$B$7:$B$68,A8,Tasks!$D$7:$D$68,B8)</x:f>
        <x:v>8</x:v>
      </x:c>
      <x:c r="E8" s="12" t="n">
        <x:f>C8-D8</x:f>
        <x:v>2</x:v>
      </x:c>
      <x:c r="F8" s="10" t="str"/>
    </x:row>
    <x:row r="9" ht="36" customHeight="1">
      <x:c r="A9" s="9" t="n">
        <x:v>1</x:v>
      </x:c>
      <x:c r="B9" s="9" t="str">
        <x:v>Developer</x:v>
      </x:c>
      <x:c r="C9" s="13" t="n">
        <x:v>25</x:v>
      </x:c>
      <x:c r="D9" s="11" t="n">
        <x:f>SUMIFS(Tasks!$E$7:$E$68,Tasks!$B$7:$B$68,A9,Tasks!$D$7:$D$68,B9)</x:f>
        <x:v>22</x:v>
      </x:c>
      <x:c r="E9" s="11" t="n">
        <x:f>C9-D9</x:f>
        <x:v>3</x:v>
      </x:c>
      <x:c r="F9" s="10" t="str"/>
    </x:row>
    <x:row r="10" ht="36" customHeight="1">
      <x:c r="A10" s="5" t="n">
        <x:v>1</x:v>
      </x:c>
      <x:c r="B10" s="5" t="str">
        <x:v>Doctor</x:v>
      </x:c>
      <x:c r="C10" s="13" t="n">
        <x:v>2</x:v>
      </x:c>
      <x:c r="D10" s="12" t="n">
        <x:f>SUMIFS(Tasks!$E$7:$E$68,Tasks!$B$7:$B$68,A10,Tasks!$D$7:$D$68,B10)</x:f>
        <x:v>2</x:v>
      </x:c>
      <x:c r="E10" s="12" t="n">
        <x:f>C10-D10</x:f>
        <x:v>0</x:v>
      </x:c>
      <x:c r="F10" s="10" t="str"/>
    </x:row>
    <x:row r="11" ht="36" customHeight="1">
      <x:c r="A11" s="9" t="n">
        <x:v>1</x:v>
      </x:c>
      <x:c r="B11" s="9" t="str">
        <x:v>Tester</x:v>
      </x:c>
      <x:c r="C11" s="13" t="n">
        <x:v>0</x:v>
      </x:c>
      <x:c r="D11" s="11" t="n">
        <x:f>SUMIFS(Tasks!$E$7:$E$68,Tasks!$B$7:$B$68,A11,Tasks!$D$7:$D$68,B11)</x:f>
        <x:v>0</x:v>
      </x:c>
      <x:c r="E11" s="11" t="n">
        <x:f>C11-D11</x:f>
        <x:v>0</x:v>
      </x:c>
      <x:c r="F11" s="10" t="str"/>
    </x:row>
    <x:row r="12" ht="36" customHeight="1">
      <x:c r="A12" s="5" t="n">
        <x:v>2</x:v>
      </x:c>
      <x:c r="B12" s="5" t="str">
        <x:v>Team lead</x:v>
      </x:c>
      <x:c r="C12" s="13" t="n">
        <x:v>10</x:v>
      </x:c>
      <x:c r="D12" s="12" t="n">
        <x:f>SUMIFS(Tasks!$E$7:$E$68,Tasks!$B$7:$B$68,A12,Tasks!$D$7:$D$68,B12)</x:f>
        <x:v>6</x:v>
      </x:c>
      <x:c r="E12" s="12" t="n">
        <x:f>C12-D12</x:f>
        <x:v>4</x:v>
      </x:c>
      <x:c r="F12" s="10" t="str"/>
    </x:row>
    <x:row r="13" ht="36" customHeight="1">
      <x:c r="A13" s="9" t="n">
        <x:v>2</x:v>
      </x:c>
      <x:c r="B13" s="9" t="str">
        <x:v>Tech lead</x:v>
      </x:c>
      <x:c r="C13" s="13" t="n">
        <x:v>10</x:v>
      </x:c>
      <x:c r="D13" s="11" t="n">
        <x:f>SUMIFS(Tasks!$E$7:$E$68,Tasks!$B$7:$B$68,A13,Tasks!$D$7:$D$68,B13)</x:f>
        <x:v>8</x:v>
      </x:c>
      <x:c r="E13" s="11" t="n">
        <x:f>C13-D13</x:f>
        <x:v>2</x:v>
      </x:c>
      <x:c r="F13" s="10" t="str"/>
    </x:row>
    <x:row r="14" ht="36" customHeight="1">
      <x:c r="A14" s="5" t="n">
        <x:v>2</x:v>
      </x:c>
      <x:c r="B14" s="5" t="str">
        <x:v>Developer</x:v>
      </x:c>
      <x:c r="C14" s="13" t="n">
        <x:v>25</x:v>
      </x:c>
      <x:c r="D14" s="12" t="n">
        <x:f>SUMIFS(Tasks!$E$7:$E$68,Tasks!$B$7:$B$68,A14,Tasks!$D$7:$D$68,B14)</x:f>
        <x:v>23</x:v>
      </x:c>
      <x:c r="E14" s="12" t="n">
        <x:f>C14-D14</x:f>
        <x:v>2</x:v>
      </x:c>
      <x:c r="F14" s="10" t="str"/>
    </x:row>
    <x:row r="15" ht="36" customHeight="1">
      <x:c r="A15" s="9" t="n">
        <x:v>2</x:v>
      </x:c>
      <x:c r="B15" s="9" t="str">
        <x:v>Doctor</x:v>
      </x:c>
      <x:c r="C15" s="13" t="n">
        <x:v>2</x:v>
      </x:c>
      <x:c r="D15" s="11" t="n">
        <x:f>SUMIFS(Tasks!$E$7:$E$68,Tasks!$B$7:$B$68,A15,Tasks!$D$7:$D$68,B15)</x:f>
        <x:v>2</x:v>
      </x:c>
      <x:c r="E15" s="11" t="n">
        <x:f>C15-D15</x:f>
        <x:v>0</x:v>
      </x:c>
      <x:c r="F15" s="10" t="str"/>
    </x:row>
    <x:row r="16" ht="36" customHeight="1">
      <x:c r="A16" s="5" t="n">
        <x:v>2</x:v>
      </x:c>
      <x:c r="B16" s="5" t="str">
        <x:v>Tester</x:v>
      </x:c>
      <x:c r="C16" s="13" t="n">
        <x:v>4</x:v>
      </x:c>
      <x:c r="D16" s="12" t="n">
        <x:f>SUMIFS(Tasks!$E$7:$E$68,Tasks!$B$7:$B$68,A16,Tasks!$D$7:$D$68,B16)</x:f>
        <x:v>4</x:v>
      </x:c>
      <x:c r="E16" s="12" t="n">
        <x:f>C16-D16</x:f>
        <x:v>0</x:v>
      </x:c>
      <x:c r="F16" s="10" t="str"/>
    </x:row>
    <x:row r="17" ht="36" customHeight="1">
      <x:c r="A17" s="9" t="n">
        <x:v>3</x:v>
      </x:c>
      <x:c r="B17" s="9" t="str">
        <x:v>Team lead</x:v>
      </x:c>
      <x:c r="C17" s="13" t="n">
        <x:v>10</x:v>
      </x:c>
      <x:c r="D17" s="11" t="n">
        <x:f>SUMIFS(Tasks!$E$7:$E$68,Tasks!$B$7:$B$68,A17,Tasks!$D$7:$D$68,B17)</x:f>
        <x:v>6</x:v>
      </x:c>
      <x:c r="E17" s="11" t="n">
        <x:f>C17-D17</x:f>
        <x:v>4</x:v>
      </x:c>
      <x:c r="F17" s="10" t="str"/>
    </x:row>
    <x:row r="18" ht="36" customHeight="1">
      <x:c r="A18" s="5" t="n">
        <x:v>3</x:v>
      </x:c>
      <x:c r="B18" s="5" t="str">
        <x:v>Tech lead</x:v>
      </x:c>
      <x:c r="C18" s="13" t="n">
        <x:v>10</x:v>
      </x:c>
      <x:c r="D18" s="12" t="n">
        <x:f>SUMIFS(Tasks!$E$7:$E$68,Tasks!$B$7:$B$68,A18,Tasks!$D$7:$D$68,B18)</x:f>
        <x:v>8</x:v>
      </x:c>
      <x:c r="E18" s="12" t="n">
        <x:f>C18-D18</x:f>
        <x:v>2</x:v>
      </x:c>
      <x:c r="F18" s="10" t="str"/>
    </x:row>
    <x:row r="19" ht="36" customHeight="1">
      <x:c r="A19" s="9" t="n">
        <x:v>3</x:v>
      </x:c>
      <x:c r="B19" s="9" t="str">
        <x:v>Developer</x:v>
      </x:c>
      <x:c r="C19" s="13" t="n">
        <x:v>25</x:v>
      </x:c>
      <x:c r="D19" s="11" t="n">
        <x:f>SUMIFS(Tasks!$E$7:$E$68,Tasks!$B$7:$B$68,A19,Tasks!$D$7:$D$68,B19)</x:f>
        <x:v>23</x:v>
      </x:c>
      <x:c r="E19" s="11" t="n">
        <x:f>C19-D19</x:f>
        <x:v>2</x:v>
      </x:c>
      <x:c r="F19" s="10" t="str"/>
    </x:row>
    <x:row r="20" ht="36" customHeight="1">
      <x:c r="A20" s="5" t="n">
        <x:v>3</x:v>
      </x:c>
      <x:c r="B20" s="5" t="str">
        <x:v>Doctor</x:v>
      </x:c>
      <x:c r="C20" s="13" t="n">
        <x:v>2</x:v>
      </x:c>
      <x:c r="D20" s="12" t="n">
        <x:f>SUMIFS(Tasks!$E$7:$E$68,Tasks!$B$7:$B$68,A20,Tasks!$D$7:$D$68,B20)</x:f>
        <x:v>2</x:v>
      </x:c>
      <x:c r="E20" s="12" t="n">
        <x:f>C20-D20</x:f>
        <x:v>0</x:v>
      </x:c>
      <x:c r="F20" s="10" t="str"/>
    </x:row>
    <x:row r="21" ht="36" customHeight="1">
      <x:c r="A21" s="9" t="n">
        <x:v>3</x:v>
      </x:c>
      <x:c r="B21" s="9" t="str">
        <x:v>Tester</x:v>
      </x:c>
      <x:c r="C21" s="13" t="n">
        <x:v>4</x:v>
      </x:c>
      <x:c r="D21" s="11" t="n">
        <x:f>SUMIFS(Tasks!$E$7:$E$68,Tasks!$B$7:$B$68,A21,Tasks!$D$7:$D$68,B21)</x:f>
        <x:v>4</x:v>
      </x:c>
      <x:c r="E21" s="11" t="n">
        <x:f>C21-D21</x:f>
        <x:v>0</x:v>
      </x:c>
      <x:c r="F21" s="10" t="str"/>
    </x:row>
    <x:row r="22" ht="36" customHeight="1">
      <x:c r="A22" s="5" t="n">
        <x:v>4</x:v>
      </x:c>
      <x:c r="B22" s="5" t="str">
        <x:v>Team lead</x:v>
      </x:c>
      <x:c r="C22" s="13" t="n">
        <x:v>10</x:v>
      </x:c>
      <x:c r="D22" s="12" t="n">
        <x:f>SUMIFS(Tasks!$E$7:$E$68,Tasks!$B$7:$B$68,A22,Tasks!$D$7:$D$68,B22)</x:f>
        <x:v>6</x:v>
      </x:c>
      <x:c r="E22" s="12" t="n">
        <x:f>C22-D22</x:f>
        <x:v>4</x:v>
      </x:c>
      <x:c r="F22" s="10" t="str"/>
    </x:row>
    <x:row r="23" ht="36" customHeight="1">
      <x:c r="A23" s="9" t="n">
        <x:v>4</x:v>
      </x:c>
      <x:c r="B23" s="9" t="str">
        <x:v>Tech lead</x:v>
      </x:c>
      <x:c r="C23" s="13" t="n">
        <x:v>10</x:v>
      </x:c>
      <x:c r="D23" s="11" t="n">
        <x:f>SUMIFS(Tasks!$E$7:$E$68,Tasks!$B$7:$B$68,A23,Tasks!$D$7:$D$68,B23)</x:f>
        <x:v>9</x:v>
      </x:c>
      <x:c r="E23" s="11" t="n">
        <x:f>C23-D23</x:f>
        <x:v>1</x:v>
      </x:c>
      <x:c r="F23" s="10" t="str"/>
    </x:row>
    <x:row r="24" ht="36" customHeight="1">
      <x:c r="A24" s="5" t="n">
        <x:v>4</x:v>
      </x:c>
      <x:c r="B24" s="5" t="str">
        <x:v>Developer</x:v>
      </x:c>
      <x:c r="C24" s="13" t="n">
        <x:v>25</x:v>
      </x:c>
      <x:c r="D24" s="12" t="n">
        <x:f>SUMIFS(Tasks!$E$7:$E$68,Tasks!$B$7:$B$68,A24,Tasks!$D$7:$D$68,B24)</x:f>
        <x:v>22</x:v>
      </x:c>
      <x:c r="E24" s="12" t="n">
        <x:f>C24-D24</x:f>
        <x:v>3</x:v>
      </x:c>
      <x:c r="F24" s="10" t="str"/>
    </x:row>
    <x:row r="25" ht="36" customHeight="1">
      <x:c r="A25" s="9" t="n">
        <x:v>4</x:v>
      </x:c>
      <x:c r="B25" s="9" t="str">
        <x:v>Doctor</x:v>
      </x:c>
      <x:c r="C25" s="13" t="n">
        <x:v>2</x:v>
      </x:c>
      <x:c r="D25" s="11" t="n">
        <x:f>SUMIFS(Tasks!$E$7:$E$68,Tasks!$B$7:$B$68,A25,Tasks!$D$7:$D$68,B25)</x:f>
        <x:v>2</x:v>
      </x:c>
      <x:c r="E25" s="11" t="n">
        <x:f>C25-D25</x:f>
        <x:v>0</x:v>
      </x:c>
      <x:c r="F25" s="10" t="str"/>
    </x:row>
    <x:row r="26" ht="36" customHeight="1">
      <x:c r="A26" s="5" t="n">
        <x:v>4</x:v>
      </x:c>
      <x:c r="B26" s="5" t="str">
        <x:v>Tester</x:v>
      </x:c>
      <x:c r="C26" s="13" t="n">
        <x:v>4</x:v>
      </x:c>
      <x:c r="D26" s="12" t="n">
        <x:f>SUMIFS(Tasks!$E$7:$E$68,Tasks!$B$7:$B$68,A26,Tasks!$D$7:$D$68,B26)</x:f>
        <x:v>4</x:v>
      </x:c>
      <x:c r="E26" s="12" t="n">
        <x:f>C26-D26</x:f>
        <x:v>0</x:v>
      </x:c>
      <x:c r="F26" s="10" t="str"/>
    </x:row>
    <x:row r="27" ht="36" customHeight="1">
      <x:c r="A27" s="9" t="n">
        <x:v>5</x:v>
      </x:c>
      <x:c r="B27" s="9" t="str">
        <x:v>Team lead</x:v>
      </x:c>
      <x:c r="C27" s="13" t="n">
        <x:v>10</x:v>
      </x:c>
      <x:c r="D27" s="11" t="n">
        <x:f>SUMIFS(Tasks!$E$7:$E$68,Tasks!$B$7:$B$68,A27,Tasks!$D$7:$D$68,B27)</x:f>
        <x:v>6</x:v>
      </x:c>
      <x:c r="E27" s="11" t="n">
        <x:f>C27-D27</x:f>
        <x:v>4</x:v>
      </x:c>
      <x:c r="F27" s="10" t="str"/>
    </x:row>
    <x:row r="28" ht="36" customHeight="1">
      <x:c r="A28" s="5" t="n">
        <x:v>5</x:v>
      </x:c>
      <x:c r="B28" s="5" t="str">
        <x:v>Tech lead</x:v>
      </x:c>
      <x:c r="C28" s="13" t="n">
        <x:v>10</x:v>
      </x:c>
      <x:c r="D28" s="12" t="n">
        <x:f>SUMIFS(Tasks!$E$7:$E$68,Tasks!$B$7:$B$68,A28,Tasks!$D$7:$D$68,B28)</x:f>
        <x:v>8</x:v>
      </x:c>
      <x:c r="E28" s="12" t="n">
        <x:f>C28-D28</x:f>
        <x:v>2</x:v>
      </x:c>
      <x:c r="F28" s="10" t="str"/>
    </x:row>
    <x:row r="29" ht="36" customHeight="1">
      <x:c r="A29" s="9" t="n">
        <x:v>5</x:v>
      </x:c>
      <x:c r="B29" s="9" t="str">
        <x:v>Developer</x:v>
      </x:c>
      <x:c r="C29" s="13" t="n">
        <x:v>25</x:v>
      </x:c>
      <x:c r="D29" s="11" t="n">
        <x:f>SUMIFS(Tasks!$E$7:$E$68,Tasks!$B$7:$B$68,A29,Tasks!$D$7:$D$68,B29)</x:f>
        <x:v>22</x:v>
      </x:c>
      <x:c r="E29" s="11" t="n">
        <x:f>C29-D29</x:f>
        <x:v>3</x:v>
      </x:c>
      <x:c r="F29" s="10" t="str"/>
    </x:row>
    <x:row r="30" ht="36" customHeight="1">
      <x:c r="A30" s="5" t="n">
        <x:v>5</x:v>
      </x:c>
      <x:c r="B30" s="5" t="str">
        <x:v>Doctor</x:v>
      </x:c>
      <x:c r="C30" s="13" t="n">
        <x:v>2</x:v>
      </x:c>
      <x:c r="D30" s="12" t="n">
        <x:f>SUMIFS(Tasks!$E$7:$E$68,Tasks!$B$7:$B$68,A30,Tasks!$D$7:$D$68,B30)</x:f>
        <x:v>2</x:v>
      </x:c>
      <x:c r="E30" s="12" t="n">
        <x:f>C30-D30</x:f>
        <x:v>0</x:v>
      </x:c>
      <x:c r="F30" s="10" t="str"/>
    </x:row>
    <x:row r="31" ht="36" customHeight="1">
      <x:c r="A31" s="9" t="n">
        <x:v>5</x:v>
      </x:c>
      <x:c r="B31" s="9" t="str">
        <x:v>Tester</x:v>
      </x:c>
      <x:c r="C31" s="13" t="n">
        <x:v>6</x:v>
      </x:c>
      <x:c r="D31" s="11" t="n">
        <x:f>SUMIFS(Tasks!$E$7:$E$68,Tasks!$B$7:$B$68,A31,Tasks!$D$7:$D$68,B31)</x:f>
        <x:v>6</x:v>
      </x:c>
      <x:c r="E31" s="11" t="n">
        <x:f>C31-D31</x:f>
        <x:v>0</x:v>
      </x:c>
      <x:c r="F31" s="10" t="str"/>
    </x:row>
    <x:row r="32" ht="36" customHeight="1">
      <x:c r="A32" s="5" t="n">
        <x:v>6</x:v>
      </x:c>
      <x:c r="B32" s="5" t="str">
        <x:v>Team lead</x:v>
      </x:c>
      <x:c r="C32" s="13" t="n">
        <x:v>10</x:v>
      </x:c>
      <x:c r="D32" s="12" t="n">
        <x:f>SUMIFS(Tasks!$E$7:$E$68,Tasks!$B$7:$B$68,A32,Tasks!$D$7:$D$68,B32)</x:f>
        <x:v>7</x:v>
      </x:c>
      <x:c r="E32" s="12" t="n">
        <x:f>C32-D32</x:f>
        <x:v>3</x:v>
      </x:c>
      <x:c r="F32" s="10" t="str"/>
    </x:row>
    <x:row r="33" ht="36" customHeight="1">
      <x:c r="A33" s="9" t="n">
        <x:v>6</x:v>
      </x:c>
      <x:c r="B33" s="9" t="str">
        <x:v>Tech lead</x:v>
      </x:c>
      <x:c r="C33" s="13" t="n">
        <x:v>10</x:v>
      </x:c>
      <x:c r="D33" s="11" t="n">
        <x:f>SUMIFS(Tasks!$E$7:$E$68,Tasks!$B$7:$B$68,A33,Tasks!$D$7:$D$68,B33)</x:f>
        <x:v>10</x:v>
      </x:c>
      <x:c r="E33" s="11" t="n">
        <x:f>C33-D33</x:f>
        <x:v>0</x:v>
      </x:c>
      <x:c r="F33" s="10" t="str"/>
    </x:row>
    <x:row r="34" ht="36" customHeight="1">
      <x:c r="A34" s="5" t="n">
        <x:v>6</x:v>
      </x:c>
      <x:c r="B34" s="5" t="str">
        <x:v>Developer</x:v>
      </x:c>
      <x:c r="C34" s="13" t="n">
        <x:v>25</x:v>
      </x:c>
      <x:c r="D34" s="12" t="n">
        <x:f>SUMIFS(Tasks!$E$7:$E$68,Tasks!$B$7:$B$68,A34,Tasks!$D$7:$D$68,B34)</x:f>
        <x:v>20</x:v>
      </x:c>
      <x:c r="E34" s="12" t="n">
        <x:f>C34-D34</x:f>
        <x:v>5</x:v>
      </x:c>
      <x:c r="F34" s="10" t="str"/>
    </x:row>
    <x:row r="35" ht="36" customHeight="1">
      <x:c r="A35" s="9" t="n">
        <x:v>6</x:v>
      </x:c>
      <x:c r="B35" s="9" t="str">
        <x:v>Doctor</x:v>
      </x:c>
      <x:c r="C35" s="13" t="n">
        <x:v>2</x:v>
      </x:c>
      <x:c r="D35" s="11" t="n">
        <x:f>SUMIFS(Tasks!$E$7:$E$68,Tasks!$B$7:$B$68,A35,Tasks!$D$7:$D$68,B35)</x:f>
        <x:v>2</x:v>
      </x:c>
      <x:c r="E35" s="11" t="n">
        <x:f>C35-D35</x:f>
        <x:v>0</x:v>
      </x:c>
      <x:c r="F35" s="10" t="str"/>
    </x:row>
    <x:row r="36" ht="36" customHeight="1">
      <x:c r="A36" s="5" t="n">
        <x:v>6</x:v>
      </x:c>
      <x:c r="B36" s="5" t="str">
        <x:v>Tester</x:v>
      </x:c>
      <x:c r="C36" s="13" t="n">
        <x:v>6</x:v>
      </x:c>
      <x:c r="D36" s="12" t="n">
        <x:f>SUMIFS(Tasks!$E$7:$E$68,Tasks!$B$7:$B$68,A36,Tasks!$D$7:$D$68,B36)</x:f>
        <x:v>6</x:v>
      </x:c>
      <x:c r="E36" s="12" t="n">
        <x:f>C36-D36</x:f>
        <x:v>0</x:v>
      </x:c>
      <x:c r="F36" s="10" t="str"/>
    </x:row>
    <x:row r="37" ht="36" customHeight="1">
      <x:c r="A37" s="9" t="n">
        <x:v>7</x:v>
      </x:c>
      <x:c r="B37" s="9" t="str">
        <x:v>Team lead</x:v>
      </x:c>
      <x:c r="C37" s="13" t="n">
        <x:v>10</x:v>
      </x:c>
      <x:c r="D37" s="11" t="n">
        <x:f>SUMIFS(Tasks!$E$7:$E$68,Tasks!$B$7:$B$68,A37,Tasks!$D$7:$D$68,B37)</x:f>
        <x:v>8</x:v>
      </x:c>
      <x:c r="E37" s="11" t="n">
        <x:f>C37-D37</x:f>
        <x:v>2</x:v>
      </x:c>
      <x:c r="F37" s="10" t="str"/>
    </x:row>
    <x:row r="38" ht="36" customHeight="1">
      <x:c r="A38" s="5" t="n">
        <x:v>7</x:v>
      </x:c>
      <x:c r="B38" s="5" t="str">
        <x:v>Tech lead</x:v>
      </x:c>
      <x:c r="C38" s="13" t="n">
        <x:v>10</x:v>
      </x:c>
      <x:c r="D38" s="12" t="n">
        <x:f>SUMIFS(Tasks!$E$7:$E$68,Tasks!$B$7:$B$68,A38,Tasks!$D$7:$D$68,B38)</x:f>
        <x:v>9</x:v>
      </x:c>
      <x:c r="E38" s="12" t="n">
        <x:f>C38-D38</x:f>
        <x:v>1</x:v>
      </x:c>
      <x:c r="F38" s="10" t="str"/>
    </x:row>
    <x:row r="39" ht="36" customHeight="1">
      <x:c r="A39" s="9" t="n">
        <x:v>7</x:v>
      </x:c>
      <x:c r="B39" s="9" t="str">
        <x:v>Developer</x:v>
      </x:c>
      <x:c r="C39" s="13" t="n">
        <x:v>25</x:v>
      </x:c>
      <x:c r="D39" s="11" t="n">
        <x:f>SUMIFS(Tasks!$E$7:$E$68,Tasks!$B$7:$B$68,A39,Tasks!$D$7:$D$68,B39)</x:f>
        <x:v>16</x:v>
      </x:c>
      <x:c r="E39" s="11" t="n">
        <x:f>C39-D39</x:f>
        <x:v>9</x:v>
      </x:c>
      <x:c r="F39" s="10" t="str"/>
    </x:row>
    <x:row r="40" ht="36" customHeight="1">
      <x:c r="A40" s="5" t="n">
        <x:v>7</x:v>
      </x:c>
      <x:c r="B40" s="5" t="str">
        <x:v>Doctor</x:v>
      </x:c>
      <x:c r="C40" s="13" t="n">
        <x:v>2</x:v>
      </x:c>
      <x:c r="D40" s="12" t="n">
        <x:f>SUMIFS(Tasks!$E$7:$E$68,Tasks!$B$7:$B$68,A40,Tasks!$D$7:$D$68,B40)</x:f>
        <x:v>2</x:v>
      </x:c>
      <x:c r="E40" s="12" t="n">
        <x:f>C40-D40</x:f>
        <x:v>0</x:v>
      </x:c>
      <x:c r="F40" s="10" t="str"/>
    </x:row>
    <x:row r="41" ht="36" customHeight="1">
      <x:c r="A41" s="9" t="n">
        <x:v>7</x:v>
      </x:c>
      <x:c r="B41" s="9" t="str">
        <x:v>Tester</x:v>
      </x:c>
      <x:c r="C41" s="13" t="n">
        <x:v>8</x:v>
      </x:c>
      <x:c r="D41" s="11" t="n">
        <x:f>SUMIFS(Tasks!$E$7:$E$68,Tasks!$B$7:$B$68,A41,Tasks!$D$7:$D$68,B41)</x:f>
        <x:v>8</x:v>
      </x:c>
      <x:c r="E41" s="11" t="n">
        <x:f>C41-D41</x:f>
        <x:v>0</x:v>
      </x:c>
      <x:c r="F41" s="10" t="str"/>
    </x:row>
    <x:row r="42" ht="36" customHeight="1">
      <x:c r="A42" s="5" t="n">
        <x:v>8</x:v>
      </x:c>
      <x:c r="B42" s="5" t="str">
        <x:v>Team lead</x:v>
      </x:c>
      <x:c r="C42" s="13" t="n">
        <x:v>10</x:v>
      </x:c>
      <x:c r="D42" s="12" t="n">
        <x:f>SUMIFS(Tasks!$E$7:$E$68,Tasks!$B$7:$B$68,A42,Tasks!$D$7:$D$68,B42)</x:f>
        <x:v>8</x:v>
      </x:c>
      <x:c r="E42" s="12" t="n">
        <x:f>C42-D42</x:f>
        <x:v>2</x:v>
      </x:c>
      <x:c r="F42" s="10" t="str"/>
    </x:row>
    <x:row r="43" ht="36" customHeight="1">
      <x:c r="A43" s="9" t="n">
        <x:v>8</x:v>
      </x:c>
      <x:c r="B43" s="9" t="str">
        <x:v>Tech lead</x:v>
      </x:c>
      <x:c r="C43" s="13" t="n">
        <x:v>10</x:v>
      </x:c>
      <x:c r="D43" s="11" t="n">
        <x:f>SUMIFS(Tasks!$E$7:$E$68,Tasks!$B$7:$B$68,A43,Tasks!$D$7:$D$68,B43)</x:f>
        <x:v>9</x:v>
      </x:c>
      <x:c r="E43" s="11" t="n">
        <x:f>C43-D43</x:f>
        <x:v>1</x:v>
      </x:c>
      <x:c r="F43" s="10" t="str"/>
    </x:row>
    <x:row r="44" ht="36" customHeight="1">
      <x:c r="A44" s="5" t="n">
        <x:v>8</x:v>
      </x:c>
      <x:c r="B44" s="5" t="str">
        <x:v>Developer</x:v>
      </x:c>
      <x:c r="C44" s="13" t="n">
        <x:v>25</x:v>
      </x:c>
      <x:c r="D44" s="12" t="n">
        <x:f>SUMIFS(Tasks!$E$7:$E$68,Tasks!$B$7:$B$68,A44,Tasks!$D$7:$D$68,B44)</x:f>
        <x:v>16</x:v>
      </x:c>
      <x:c r="E44" s="12" t="n">
        <x:f>C44-D44</x:f>
        <x:v>9</x:v>
      </x:c>
      <x:c r="F44" s="10" t="str"/>
    </x:row>
    <x:row r="45" ht="36" customHeight="1">
      <x:c r="A45" s="9" t="n">
        <x:v>8</x:v>
      </x:c>
      <x:c r="B45" s="9" t="str">
        <x:v>Doctor</x:v>
      </x:c>
      <x:c r="C45" s="13" t="n">
        <x:v>2</x:v>
      </x:c>
      <x:c r="D45" s="11" t="n">
        <x:f>SUMIFS(Tasks!$E$7:$E$68,Tasks!$B$7:$B$68,A45,Tasks!$D$7:$D$68,B45)</x:f>
        <x:v>2</x:v>
      </x:c>
      <x:c r="E45" s="11" t="n">
        <x:f>C45-D45</x:f>
        <x:v>0</x:v>
      </x:c>
      <x:c r="F45" s="10" t="str"/>
    </x:row>
    <x:row r="46" ht="36" customHeight="1">
      <x:c r="A46" s="5" t="n">
        <x:v>8</x:v>
      </x:c>
      <x:c r="B46" s="5" t="str">
        <x:v>Tester</x:v>
      </x:c>
      <x:c r="C46" s="13" t="n">
        <x:v>8</x:v>
      </x:c>
      <x:c r="D46" s="12" t="n">
        <x:f>SUMIFS(Tasks!$E$7:$E$68,Tasks!$B$7:$B$68,A46,Tasks!$D$7:$D$68,B46)</x:f>
        <x:v>8</x:v>
      </x:c>
      <x:c r="E46" s="12" t="n">
        <x:f>C46-D46</x:f>
        <x:v>0</x:v>
      </x:c>
      <x:c r="F46" s="10" t="str"/>
    </x:row>
    <x:row r="47">
      <x:c r="A47" s="1"/>
      <x:c r="B47" s="1"/>
      <x:c r="C47" s="1"/>
      <x:c r="D47" s="1"/>
      <x:c r="E47" s="1"/>
      <x:c r="F47" s="1"/>
    </x:row>
    <x:row r="48">
      <x:c r="A48" s="1"/>
      <x:c r="B48" s="1"/>
      <x:c r="C48" s="1"/>
      <x:c r="D48" s="1"/>
      <x:c r="E48" s="1"/>
      <x:c r="F48" s="1"/>
    </x:row>
    <x:row r="49">
      <x:c r="A49" s="14" t="str">
        <x:v>Eight-week total by role</x:v>
      </x:c>
    </x:row>
    <x:row r="50">
      <x:c r="A50" s="16" t="str">
        <x:v>Role</x:v>
      </x:c>
      <x:c r="B50" s="16" t="str">
        <x:v>Available h</x:v>
      </x:c>
      <x:c r="C50" s="16" t="str">
        <x:v>Planned h</x:v>
      </x:c>
      <x:c r="D50" s="16" t="str">
        <x:v>Remaining h</x:v>
      </x:c>
    </x:row>
    <x:row r="51">
      <x:c r="A51" t="str">
        <x:v>Team lead</x:v>
      </x:c>
      <x:c r="B51" t="n">
        <x:f>SUMIF(B7:B46,A51,C7:C46)</x:f>
        <x:v>80</x:v>
      </x:c>
      <x:c r="C51" t="n">
        <x:f>SUMIF(B7:B46,A51,D7:D46)</x:f>
        <x:v>54</x:v>
      </x:c>
      <x:c r="D51" t="n">
        <x:f>B51-C51</x:f>
        <x:v>26</x:v>
      </x:c>
    </x:row>
    <x:row r="52">
      <x:c r="A52" t="str">
        <x:v>Tech lead</x:v>
      </x:c>
      <x:c r="B52" t="n">
        <x:f>SUMIF(B7:B46,A52,C7:C46)</x:f>
        <x:v>80</x:v>
      </x:c>
      <x:c r="C52" t="n">
        <x:f>SUMIF(B7:B46,A52,D7:D46)</x:f>
        <x:v>69</x:v>
      </x:c>
      <x:c r="D52" t="n">
        <x:f>B52-C52</x:f>
        <x:v>11</x:v>
      </x:c>
    </x:row>
    <x:row r="53">
      <x:c r="A53" t="str">
        <x:v>Developer</x:v>
      </x:c>
      <x:c r="B53" t="n">
        <x:f>SUMIF(B7:B46,A53,C7:C46)</x:f>
        <x:v>200</x:v>
      </x:c>
      <x:c r="C53" t="n">
        <x:f>SUMIF(B7:B46,A53,D7:D46)</x:f>
        <x:v>164</x:v>
      </x:c>
      <x:c r="D53" t="n">
        <x:f>B53-C53</x:f>
        <x:v>36</x:v>
      </x:c>
    </x:row>
    <x:row r="54">
      <x:c r="A54" t="str">
        <x:v>Doctor</x:v>
      </x:c>
      <x:c r="B54" t="n">
        <x:f>SUMIF(B7:B46,A54,C7:C46)</x:f>
        <x:v>16</x:v>
      </x:c>
      <x:c r="C54" t="n">
        <x:f>SUMIF(B7:B46,A54,D7:D46)</x:f>
        <x:v>16</x:v>
      </x:c>
      <x:c r="D54" t="n">
        <x:f>B54-C54</x:f>
        <x:v>0</x:v>
      </x:c>
    </x:row>
    <x:row r="55">
      <x:c r="A55" t="str">
        <x:v>Tester</x:v>
      </x:c>
      <x:c r="B55" t="n">
        <x:f>SUMIF(B7:B46,A55,C7:C46)</x:f>
        <x:v>40</x:v>
      </x:c>
      <x:c r="C55" t="n">
        <x:f>SUMIF(B7:B46,A55,D7:D46)</x:f>
        <x:v>40</x:v>
      </x:c>
      <x:c r="D55" t="n">
        <x:f>B55-C55</x:f>
        <x:v>0</x:v>
      </x:c>
    </x:row>
    <x:row r="57">
      <x:c r="A57" t="str">
        <x:v>Doctor time is fully allocated. Pediatric, language and live support capacity must be confirmed separately.</x:v>
      </x:c>
    </x:row>
  </x:sheetData>
  <x:conditionalFormatting sqref="E7:E46">
    <x:cfRule type="cellIs" dxfId="5" priority="1" operator="lessThan">
      <x:formula>0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1eb67969d0e54b25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10" hidden="0" customWidth="1"/>
    <x:col min="2" max="2" width="10" hidden="0" customWidth="1"/>
    <x:col min="3" max="3" width="30" hidden="0" customWidth="1"/>
    <x:col min="4" max="4" width="38" hidden="0" customWidth="1"/>
    <x:col min="5" max="5" width="68" hidden="0" customWidth="1"/>
    <x:col min="6" max="6" width="16" hidden="0" customWidth="1"/>
    <x:col min="7" max="7" width="48" hidden="0" customWidth="1"/>
    <x:col min="8" max="8" width="28" hidden="0" customWidth="1"/>
    <x:col min="9" max="9" width="28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</x:row>
    <x:row r="2">
      <x:c r="A2" s="2" t="str">
        <x:v>Decisions and dependencies</x:v>
      </x:c>
      <x:c r="B2" s="1"/>
      <x:c r="C2" s="1"/>
      <x:c r="D2" s="1"/>
      <x:c r="E2" s="1"/>
      <x:c r="F2" s="1"/>
      <x:c r="G2" s="1"/>
      <x:c r="H2" s="1"/>
      <x:c r="I2" s="1"/>
    </x:row>
    <x:row r="3">
      <x:c r="A3" s="3" t="str">
        <x:v>Resolve each item before its due gate; proposed direction is not an approval.</x:v>
      </x:c>
      <x:c r="B3" s="1"/>
      <x:c r="C3" s="1"/>
      <x:c r="D3" s="1"/>
      <x:c r="E3" s="1"/>
      <x:c r="F3" s="1"/>
      <x:c r="G3" s="1"/>
      <x:c r="H3" s="1"/>
      <x:c r="I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</x:row>
    <x:row r="5">
      <x:c r="A5" s="1"/>
      <x:c r="B5" s="1"/>
      <x:c r="C5" s="1"/>
      <x:c r="D5" s="1"/>
      <x:c r="E5" s="1"/>
      <x:c r="F5" s="1"/>
      <x:c r="G5" s="1"/>
      <x:c r="H5" s="1"/>
      <x:c r="I5" s="1"/>
    </x:row>
    <x:row r="6" ht="34" customHeight="1">
      <x:c r="A6" s="8" t="str">
        <x:v>ID</x:v>
      </x:c>
      <x:c r="B6" s="8" t="str">
        <x:v>Due gate</x:v>
      </x:c>
      <x:c r="C6" s="8" t="str">
        <x:v>Owner</x:v>
      </x:c>
      <x:c r="D6" s="8" t="str">
        <x:v>Decision needed</x:v>
      </x:c>
      <x:c r="E6" s="8" t="str">
        <x:v>Proposed direction</x:v>
      </x:c>
      <x:c r="F6" s="8" t="str">
        <x:v>Status</x:v>
      </x:c>
      <x:c r="G6" s="8" t="str">
        <x:v>Decision / rationale</x:v>
      </x:c>
      <x:c r="H6" s="8" t="str">
        <x:v>Approved by / date</x:v>
      </x:c>
      <x:c r="I6" s="8" t="str">
        <x:v>Evidence link</x:v>
      </x:c>
    </x:row>
    <x:row r="7" ht="40" customHeight="1">
      <x:c r="A7" s="9" t="str">
        <x:v>D01</x:v>
      </x:c>
      <x:c r="B7" s="9" t="str">
        <x:v>SG0</x:v>
      </x:c>
      <x:c r="C7" s="9" t="str">
        <x:v>Team lead</x:v>
      </x:c>
      <x:c r="D7" s="9" t="str">
        <x:v>Exact weekly hours and named owners</x:v>
      </x:c>
      <x:c r="E7" s="9" t="str">
        <x:v>Use 10h lead, 10h tech, 25h developer planning baseline; confirm developer 20–25h allocation.</x:v>
      </x:c>
      <x:c r="F7" s="10" t="str">
        <x:v>Open</x:v>
      </x:c>
      <x:c r="G7" s="10" t="str"/>
      <x:c r="H7" s="10" t="str"/>
      <x:c r="I7" s="10" t="str"/>
    </x:row>
    <x:row r="8" ht="40" customHeight="1">
      <x:c r="A8" s="5" t="str">
        <x:v>D02</x:v>
      </x:c>
      <x:c r="B8" s="5" t="str">
        <x:v>SG0</x:v>
      </x:c>
      <x:c r="C8" s="5" t="str">
        <x:v>Team lead + Doctor</x:v>
      </x:c>
      <x:c r="D8" s="5" t="str">
        <x:v>Pilot sites, language and reviewers</x:v>
      </x:c>
      <x:c r="E8" s="5" t="str">
        <x:v>One rural and one semi-urban setting; English plus one selected local language; named pediatric reviewer.</x:v>
      </x:c>
      <x:c r="F8" s="10" t="str">
        <x:v>Open</x:v>
      </x:c>
      <x:c r="G8" s="10" t="str"/>
      <x:c r="H8" s="10" t="str"/>
      <x:c r="I8" s="10" t="str"/>
    </x:row>
    <x:row r="9" ht="40" customHeight="1">
      <x:c r="A9" s="9" t="str">
        <x:v>D03</x:v>
      </x:c>
      <x:c r="B9" s="9" t="str">
        <x:v>SG0</x:v>
      </x:c>
      <x:c r="C9" s="9" t="str">
        <x:v>Team lead</x:v>
      </x:c>
      <x:c r="D9" s="9" t="str">
        <x:v>Shared repository policy and delegated authority</x:v>
      </x:c>
      <x:c r="E9" s="9" t="str">
        <x:v>Adopt task branches, PR review and human commit/push approvals; select merge approver.</x:v>
      </x:c>
      <x:c r="F9" s="10" t="str">
        <x:v>Open</x:v>
      </x:c>
      <x:c r="G9" s="10" t="str"/>
      <x:c r="H9" s="10" t="str"/>
      <x:c r="I9" s="10" t="str"/>
    </x:row>
    <x:row r="10" ht="40" customHeight="1">
      <x:c r="A10" s="5" t="str">
        <x:v>D04</x:v>
      </x:c>
      <x:c r="B10" s="5" t="str">
        <x:v>SG1</x:v>
      </x:c>
      <x:c r="C10" s="5" t="str">
        <x:v>Tech lead</x:v>
      </x:c>
      <x:c r="D10" s="5" t="str">
        <x:v>Auth/session, runtime and dependency versions</x:v>
      </x:c>
      <x:c r="E10" s="5" t="str">
        <x:v>Password staff login; reviewed session design; pinned supported versions and current dependency review.</x:v>
      </x:c>
      <x:c r="F10" s="10" t="str">
        <x:v>Open</x:v>
      </x:c>
      <x:c r="G10" s="10" t="str"/>
      <x:c r="H10" s="10" t="str"/>
      <x:c r="I10" s="10" t="str"/>
    </x:row>
    <x:row r="11" ht="40" customHeight="1">
      <x:c r="A11" s="9" t="str">
        <x:v>D05</x:v>
      </x:c>
      <x:c r="B11" s="9" t="str">
        <x:v>SG2</x:v>
      </x:c>
      <x:c r="C11" s="9" t="str">
        <x:v>Doctor + Pediatric reviewer</x:v>
      </x:c>
      <x:c r="D11" s="9" t="str">
        <x:v>Clinical templates and urgent wording</x:v>
      </x:c>
      <x:c r="E11" s="9" t="str">
        <x:v>Approve source/version/local applicability; no universal schedule by resource tier.</x:v>
      </x:c>
      <x:c r="F11" s="10" t="str">
        <x:v>Open</x:v>
      </x:c>
      <x:c r="G11" s="10" t="str"/>
      <x:c r="H11" s="10" t="str"/>
      <x:c r="I11" s="10" t="str"/>
    </x:row>
    <x:row r="12" ht="40" customHeight="1">
      <x:c r="A12" s="5" t="str">
        <x:v>D06</x:v>
      </x:c>
      <x:c r="B12" s="5" t="str">
        <x:v>SG2</x:v>
      </x:c>
      <x:c r="C12" s="5" t="str">
        <x:v>Team lead + Tech lead</x:v>
      </x:c>
      <x:c r="D12" s="5" t="str">
        <x:v>WhatsApp provider/account and budget</x:v>
      </x:c>
      <x:c r="E12" s="5" t="str">
        <x:v>Compare current direct/provider costs, onboarding and media support; no vendor selected by this pack.</x:v>
      </x:c>
      <x:c r="F12" s="10" t="str">
        <x:v>Open</x:v>
      </x:c>
      <x:c r="G12" s="10" t="str"/>
      <x:c r="H12" s="10" t="str"/>
      <x:c r="I12" s="10" t="str"/>
    </x:row>
    <x:row r="13" ht="40" customHeight="1">
      <x:c r="A13" s="9" t="str">
        <x:v>D07</x:v>
      </x:c>
      <x:c r="B13" s="9" t="str">
        <x:v>SG2</x:v>
      </x:c>
      <x:c r="C13" s="9" t="str">
        <x:v>Tech lead + Team lead</x:v>
      </x:c>
      <x:c r="D13" s="9" t="str">
        <x:v>Patient verification and caregiver mechanism</x:v>
      </x:c>
      <x:c r="E13" s="9" t="str">
        <x:v>No phone-only household access; agree revocation and assisted flow before patient rollout.</x:v>
      </x:c>
      <x:c r="F13" s="10" t="str">
        <x:v>Open</x:v>
      </x:c>
      <x:c r="G13" s="10" t="str"/>
      <x:c r="H13" s="10" t="str"/>
      <x:c r="I13" s="10" t="str"/>
    </x:row>
    <x:row r="14" ht="55" customHeight="1">
      <x:c r="A14" s="5" t="str">
        <x:v>D08</x:v>
      </x:c>
      <x:c r="B14" s="5" t="str">
        <x:v>SG3</x:v>
      </x:c>
      <x:c r="C14" s="5" t="str">
        <x:v>Team lead</x:v>
      </x:c>
      <x:c r="D14" s="5" t="str">
        <x:v>Language recording and testing capacity</x:v>
      </x:c>
      <x:c r="E14" s="5" t="str">
        <x:v>Assign language-capable narrator/reviewer; tester 40h across plan; pediatric time separate from gynecologist 2h/week.</x:v>
      </x:c>
      <x:c r="F14" s="10" t="str">
        <x:v>Open</x:v>
      </x:c>
      <x:c r="G14" s="10" t="str"/>
      <x:c r="H14" s="10" t="str"/>
      <x:c r="I14" s="10" t="str"/>
    </x:row>
    <x:row r="15" ht="40" customHeight="1">
      <x:c r="A15" s="9" t="str">
        <x:v>D09</x:v>
      </x:c>
      <x:c r="B15" s="9" t="str">
        <x:v>SG5</x:v>
      </x:c>
      <x:c r="C15" s="9" t="str">
        <x:v>Team lead + Facility owner</x:v>
      </x:c>
      <x:c r="D15" s="9" t="str">
        <x:v>Hosting, retention, vendor data flows and rights</x:v>
      </x:c>
      <x:c r="E15" s="9" t="str">
        <x:v>Document review applicable to pilot date; India hosting is proposed policy, not legal certification.</x:v>
      </x:c>
      <x:c r="F15" s="10" t="str">
        <x:v>Open</x:v>
      </x:c>
      <x:c r="G15" s="10" t="str"/>
      <x:c r="H15" s="10" t="str"/>
      <x:c r="I15" s="10" t="str"/>
    </x:row>
    <x:row r="16" ht="40" customHeight="1">
      <x:c r="A16" s="5" t="str">
        <x:v>D10</x:v>
      </x:c>
      <x:c r="B16" s="5" t="str">
        <x:v>SG5</x:v>
      </x:c>
      <x:c r="C16" s="5" t="str">
        <x:v>Team lead + Tech lead</x:v>
      </x:c>
      <x:c r="D16" s="5" t="str">
        <x:v>Recovery, load and operating cost thresholds</x:v>
      </x:c>
      <x:c r="E16" s="5" t="str">
        <x:v>Approve proposed RPO/RTO and load targets; set monthly INR budget, alert and send-stop limits.</x:v>
      </x:c>
      <x:c r="F16" s="10" t="str">
        <x:v>Open</x:v>
      </x:c>
      <x:c r="G16" s="10" t="str"/>
      <x:c r="H16" s="10" t="str"/>
      <x:c r="I16" s="10" t="str"/>
    </x:row>
    <x:row r="17" ht="40" customHeight="1">
      <x:c r="A17" s="9" t="str">
        <x:v>D11</x:v>
      </x:c>
      <x:c r="B17" s="9" t="str">
        <x:v>SG6</x:v>
      </x:c>
      <x:c r="C17" s="9" t="str">
        <x:v>Facility owner + Team lead</x:v>
      </x:c>
      <x:c r="D17" s="9" t="str">
        <x:v>Live support roster and response commitments</x:v>
      </x:c>
      <x:c r="E17" s="9" t="str">
        <x:v>Name coordinator, backup and clinical escalation before any real enrolment.</x:v>
      </x:c>
      <x:c r="F17" s="10" t="str">
        <x:v>Open</x:v>
      </x:c>
      <x:c r="G17" s="10" t="str"/>
      <x:c r="H17" s="10" t="str"/>
      <x:c r="I17" s="10" t="str"/>
    </x:row>
    <x:row r="18" ht="55" customHeight="1">
      <x:c r="A18" s="5" t="str">
        <x:v>D12</x:v>
      </x:c>
      <x:c r="B18" s="5" t="str">
        <x:v>SG7</x:v>
      </x:c>
      <x:c r="C18" s="5" t="str">
        <x:v>Team lead + Doctor + Tech lead</x:v>
      </x:c>
      <x:c r="D18" s="5" t="str">
        <x:v>Pilot authorization</x:v>
      </x:c>
      <x:c r="E18" s="5" t="str">
        <x:v>Separate technical, clinical and operations acceptance; pilot deployment and real enrolment need explicit authorization.</x:v>
      </x:c>
      <x:c r="F18" s="10" t="str">
        <x:v>Open</x:v>
      </x:c>
      <x:c r="G18" s="10" t="str"/>
      <x:c r="H18" s="10" t="str"/>
      <x:c r="I18" s="10" t="str"/>
    </x:row>
    <x:row r="19">
      <x:c r="A19" s="1"/>
      <x:c r="B19" s="1"/>
      <x:c r="C19" s="1"/>
      <x:c r="D19" s="1"/>
      <x:c r="E19" s="1"/>
      <x:c r="F19" s="1"/>
      <x:c r="G19" s="1"/>
      <x:c r="H19" s="1"/>
      <x:c r="I19" s="1"/>
    </x:row>
    <x:row r="20">
      <x:c r="A20" s="1"/>
      <x:c r="B20" s="1"/>
      <x:c r="C20" s="1"/>
      <x:c r="D20" s="1"/>
      <x:c r="E20" s="1"/>
      <x:c r="F20" s="1"/>
      <x:c r="G20" s="1"/>
      <x:c r="H20" s="1"/>
      <x:c r="I20" s="1"/>
    </x:row>
  </x:sheetData>
  <x:dataValidations count="1">
    <x:dataValidation type="list" sqref="F7:F18">
      <x:formula1>"Open,Accepted,Rejected,Deferred"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6977611b9464568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17" hidden="0" customWidth="1"/>
    <x:col min="2" max="2" width="45" hidden="0" customWidth="1"/>
    <x:col min="3" max="3" width="22" hidden="0" customWidth="1"/>
    <x:col min="4" max="4" width="54" hidden="0" customWidth="1"/>
    <x:col min="5" max="5" width="52" hidden="0" customWidth="1"/>
  </x:cols>
  <x:sheetData>
    <x:row r="1">
      <x:c r="A1" s="1"/>
      <x:c r="B1" s="1"/>
      <x:c r="C1" s="1"/>
      <x:c r="D1" s="1"/>
      <x:c r="E1" s="1"/>
    </x:row>
    <x:row r="2">
      <x:c r="A2" s="2" t="str">
        <x:v>Requirements to build and test</x:v>
      </x:c>
      <x:c r="B2" s="1"/>
      <x:c r="C2" s="1"/>
      <x:c r="D2" s="1"/>
      <x:c r="E2" s="1"/>
    </x:row>
    <x:row r="3">
      <x:c r="A3" s="3" t="str">
        <x:v>Source: MatriSathi_Specifications_Updated.xlsx v2, 28 Sep 2026; standalone amendments in baseline §1.</x:v>
      </x:c>
      <x:c r="B3" s="1"/>
      <x:c r="C3" s="1"/>
      <x:c r="D3" s="1"/>
      <x:c r="E3" s="1"/>
    </x:row>
    <x:row r="4">
      <x:c r="A4" s="1"/>
      <x:c r="B4" s="1"/>
      <x:c r="C4" s="1"/>
      <x:c r="D4" s="1"/>
      <x:c r="E4" s="1"/>
    </x:row>
    <x:row r="5">
      <x:c r="A5" s="1"/>
      <x:c r="B5" s="1"/>
      <x:c r="C5" s="1"/>
      <x:c r="D5" s="1"/>
      <x:c r="E5" s="1"/>
    </x:row>
    <x:row r="6" ht="34" customHeight="1">
      <x:c r="A6" s="8" t="str">
        <x:v>Requirement</x:v>
      </x:c>
      <x:c r="B6" s="8" t="str">
        <x:v>Required scope</x:v>
      </x:c>
      <x:c r="C6" s="8" t="str">
        <x:v>Gates</x:v>
      </x:c>
      <x:c r="D6" s="8" t="str">
        <x:v>Implementation tasks</x:v>
      </x:c>
      <x:c r="E6" s="8" t="str">
        <x:v>Acceptance cases</x:v>
      </x:c>
    </x:row>
    <x:row r="7" ht="36" customHeight="1">
      <x:c r="A7" s="9" t="str">
        <x:v>Stage 1</x:v>
      </x:c>
      <x:c r="B7" s="9" t="str">
        <x:v>Pregnancy confirmation and entry</x:v>
      </x:c>
      <x:c r="C7" s="9" t="str">
        <x:v>SG1 SG2</x:v>
      </x:c>
      <x:c r="D7" s="9" t="str">
        <x:v>M004–M006 M011 M013</x:v>
      </x:c>
      <x:c r="E7" s="9" t="str">
        <x:v>AT03 AT05 AT06</x:v>
      </x:c>
    </x:row>
    <x:row r="8" ht="36" customHeight="1">
      <x:c r="A8" s="5" t="str">
        <x:v>Stage 2</x:v>
      </x:c>
      <x:c r="B8" s="5" t="str">
        <x:v>Routine pregnancy care</x:v>
      </x:c>
      <x:c r="C8" s="5" t="str">
        <x:v>SG2</x:v>
      </x:c>
      <x:c r="D8" s="5" t="str">
        <x:v>M011 M012</x:v>
      </x:c>
      <x:c r="E8" s="5" t="str">
        <x:v>AT06 AT07 AT08 AT09</x:v>
      </x:c>
    </x:row>
    <x:row r="9" ht="36" customHeight="1">
      <x:c r="A9" s="9" t="str">
        <x:v>Stage 3</x:v>
      </x:c>
      <x:c r="B9" s="9" t="str">
        <x:v>Delivery readiness</x:v>
      </x:c>
      <x:c r="C9" s="9" t="str">
        <x:v>SG2</x:v>
      </x:c>
      <x:c r="D9" s="9" t="str">
        <x:v>M013 M015</x:v>
      </x:c>
      <x:c r="E9" s="9" t="str">
        <x:v>AT10</x:v>
      </x:c>
    </x:row>
    <x:row r="10" ht="36" customHeight="1">
      <x:c r="A10" s="5" t="str">
        <x:v>Stage 4</x:v>
      </x:c>
      <x:c r="B10" s="5" t="str">
        <x:v>Labour/birth documentation</x:v>
      </x:c>
      <x:c r="C10" s="5" t="str">
        <x:v>SG4</x:v>
      </x:c>
      <x:c r="D10" s="5" t="str">
        <x:v>M027 M028</x:v>
      </x:c>
      <x:c r="E10" s="5" t="str">
        <x:v>AT15 AT18</x:v>
      </x:c>
    </x:row>
    <x:row r="11" ht="36" customHeight="1">
      <x:c r="A11" s="9" t="str">
        <x:v>Stage 5</x:v>
      </x:c>
      <x:c r="B11" s="9" t="str">
        <x:v>Separate discharge</x:v>
      </x:c>
      <x:c r="C11" s="9" t="str">
        <x:v>SG4</x:v>
      </x:c>
      <x:c r="D11" s="9" t="str">
        <x:v>M027 M031</x:v>
      </x:c>
      <x:c r="E11" s="9" t="str">
        <x:v>AT16</x:v>
      </x:c>
    </x:row>
    <x:row r="12" ht="36" customHeight="1">
      <x:c r="A12" s="5" t="str">
        <x:v>Stage 6</x:v>
      </x:c>
      <x:c r="B12" s="5" t="str">
        <x:v>Early postpartum</x:v>
      </x:c>
      <x:c r="C12" s="5" t="str">
        <x:v>SG4</x:v>
      </x:c>
      <x:c r="D12" s="5" t="str">
        <x:v>M029 M031</x:v>
      </x:c>
      <x:c r="E12" s="5" t="str">
        <x:v>AT16 AT17 AT18</x:v>
      </x:c>
    </x:row>
    <x:row r="13" ht="36" customHeight="1">
      <x:c r="A13" s="9" t="str">
        <x:v>Stage 7</x:v>
      </x:c>
      <x:c r="B13" s="9" t="str">
        <x:v>Infancy</x:v>
      </x:c>
      <x:c r="C13" s="9" t="str">
        <x:v>SG5</x:v>
      </x:c>
      <x:c r="D13" s="9" t="str">
        <x:v>M035 M039</x:v>
      </x:c>
      <x:c r="E13" s="9" t="str">
        <x:v>AT19 AT29</x:v>
      </x:c>
    </x:row>
    <x:row r="14" ht="36" customHeight="1">
      <x:c r="A14" s="5" t="str">
        <x:v>Stage 8</x:v>
      </x:c>
      <x:c r="B14" s="5" t="str">
        <x:v>Early childhood</x:v>
      </x:c>
      <x:c r="C14" s="5" t="str">
        <x:v>SG5</x:v>
      </x:c>
      <x:c r="D14" s="5" t="str">
        <x:v>M035 M039</x:v>
      </x:c>
      <x:c r="E14" s="5" t="str">
        <x:v>AT19 AT29</x:v>
      </x:c>
    </x:row>
    <x:row r="15" ht="36" customHeight="1">
      <x:c r="A15" s="9" t="str">
        <x:v>R01</x:v>
      </x:c>
      <x:c r="B15" s="9" t="str">
        <x:v>WhatsApp and voice</x:v>
      </x:c>
      <x:c r="C15" s="9" t="str">
        <x:v>SG3</x:v>
      </x:c>
      <x:c r="D15" s="9" t="str">
        <x:v>M017–M024</x:v>
      </x:c>
      <x:c r="E15" s="9" t="str">
        <x:v>AT11 AT12 AT13 AT14</x:v>
      </x:c>
    </x:row>
    <x:row r="16" ht="36" customHeight="1">
      <x:c r="A16" s="5" t="str">
        <x:v>R02</x:v>
      </x:c>
      <x:c r="B16" s="5" t="str">
        <x:v>Identity and caregiver access</x:v>
      </x:c>
      <x:c r="C16" s="5" t="str">
        <x:v>SG1 SG2 SG4 SG5</x:v>
      </x:c>
      <x:c r="D16" s="5" t="str">
        <x:v>M003 M005 M010 M025 M034 M037</x:v>
      </x:c>
      <x:c r="E16" s="5" t="str">
        <x:v>AT01 AT02 AT03 AT28 AT29</x:v>
      </x:c>
    </x:row>
    <x:row r="17" ht="36" customHeight="1">
      <x:c r="A17" s="9" t="str">
        <x:v>R03</x:v>
      </x:c>
      <x:c r="B17" s="9" t="str">
        <x:v>Tasks, tests and referrals</x:v>
      </x:c>
      <x:c r="C17" s="9" t="str">
        <x:v>SG2 SG5</x:v>
      </x:c>
      <x:c r="D17" s="9" t="str">
        <x:v>M009 M011 M012 M044</x:v>
      </x:c>
      <x:c r="E17" s="9" t="str">
        <x:v>AT07 AT08 AT09 AT23</x:v>
      </x:c>
    </x:row>
    <x:row r="18" ht="36" customHeight="1">
      <x:c r="A18" s="5" t="str">
        <x:v>R04</x:v>
      </x:c>
      <x:c r="B18" s="5" t="str">
        <x:v>Loss, transfer and special care</x:v>
      </x:c>
      <x:c r="C18" s="5" t="str">
        <x:v>SG4</x:v>
      </x:c>
      <x:c r="D18" s="5" t="str">
        <x:v>M026–M029</x:v>
      </x:c>
      <x:c r="E18" s="5" t="str">
        <x:v>AT15 AT16 AT17 AT18</x:v>
      </x:c>
    </x:row>
    <x:row r="19" ht="36" customHeight="1">
      <x:c r="A19" s="9" t="str">
        <x:v>R05</x:v>
      </x:c>
      <x:c r="B19" s="9" t="str">
        <x:v>Local schedules and field roles</x:v>
      </x:c>
      <x:c r="C19" s="9" t="str">
        <x:v>SG2 SG5</x:v>
      </x:c>
      <x:c r="D19" s="9" t="str">
        <x:v>M011 M015 M033 M035 M039</x:v>
      </x:c>
      <x:c r="E19" s="9" t="str">
        <x:v>AT06 AT07 AT19</x:v>
      </x:c>
    </x:row>
    <x:row r="20" ht="36" customHeight="1">
      <x:c r="A20" s="5" t="str">
        <x:v>R06</x:v>
      </x:c>
      <x:c r="B20" s="5" t="str">
        <x:v>Education and language</x:v>
      </x:c>
      <x:c r="C20" s="5" t="str">
        <x:v>SG3 SG5</x:v>
      </x:c>
      <x:c r="D20" s="5" t="str">
        <x:v>M021 M023 M037–M039 M047</x:v>
      </x:c>
      <x:c r="E20" s="5" t="str">
        <x:v>AT14 AT21 AT24</x:v>
      </x:c>
    </x:row>
    <x:row r="21" ht="36" customHeight="1">
      <x:c r="A21" s="9" t="str">
        <x:v>R07</x:v>
      </x:c>
      <x:c r="B21" s="9" t="str">
        <x:v>Privacy, audit and rights</x:v>
      </x:c>
      <x:c r="C21" s="9" t="str">
        <x:v>SG1 SG5 SG7</x:v>
      </x:c>
      <x:c r="D21" s="9" t="str">
        <x:v>M003 M005 M043 M050</x:v>
      </x:c>
      <x:c r="E21" s="9" t="str">
        <x:v>AT04 AT22 AT28 AT32</x:v>
      </x:c>
    </x:row>
    <x:row r="22" ht="36" customHeight="1">
      <x:c r="A22" s="5" t="str">
        <x:v>R08</x:v>
      </x:c>
      <x:c r="B22" s="5" t="str">
        <x:v>Low-connectivity field use</x:v>
      </x:c>
      <x:c r="C22" s="5" t="str">
        <x:v>SG5 SG6</x:v>
      </x:c>
      <x:c r="D22" s="5" t="str">
        <x:v>M033 M036 M040 M051</x:v>
      </x:c>
      <x:c r="E22" s="5" t="str">
        <x:v>AT20 AT24 AT26</x:v>
      </x:c>
    </x:row>
    <x:row r="23" ht="36" customHeight="1">
      <x:c r="A23" s="9" t="str">
        <x:v>R09</x:v>
      </x:c>
      <x:c r="B23" s="9" t="str">
        <x:v>Independent MVP architecture; amended</x:v>
      </x:c>
      <x:c r="C23" s="9" t="str">
        <x:v>SG1 SG5</x:v>
      </x:c>
      <x:c r="D23" s="9" t="str">
        <x:v>M002–M006 M045</x:v>
      </x:c>
      <x:c r="E23" s="9" t="str">
        <x:v>AT05 AT31</x:v>
      </x:c>
    </x:row>
    <x:row r="24" ht="36" customHeight="1">
      <x:c r="A24" s="5" t="str">
        <x:v>R10</x:v>
      </x:c>
      <x:c r="B24" s="5" t="str">
        <x:v>Deployment, recovery and cost</x:v>
      </x:c>
      <x:c r="C24" s="5" t="str">
        <x:v>SG3 SG6 SG7</x:v>
      </x:c>
      <x:c r="D24" s="5" t="str">
        <x:v>M017 M019 M042 M049 M056</x:v>
      </x:c>
      <x:c r="E24" s="5" t="str">
        <x:v>AT12 AT25 AT26 AT30 AT32</x:v>
      </x:c>
    </x:row>
    <x:row r="25" ht="36" customHeight="1">
      <x:c r="A25" s="9" t="str">
        <x:v>R11</x:v>
      </x:c>
      <x:c r="B25" s="9" t="str">
        <x:v>Staffed pilot and release gates</x:v>
      </x:c>
      <x:c r="C25" s="9" t="str">
        <x:v>SG0 SG6 SG7</x:v>
      </x:c>
      <x:c r="D25" s="9" t="str">
        <x:v>M001 M046 M053 M060</x:v>
      </x:c>
      <x:c r="E25" s="9" t="str">
        <x:v>AT23 AT27</x:v>
      </x:c>
    </x:row>
    <x:row r="26" ht="36" customHeight="1">
      <x:c r="A26" s="5" t="str">
        <x:v>R12</x:v>
      </x:c>
      <x:c r="B26" s="5" t="str">
        <x:v>Pilot evidence and impact</x:v>
      </x:c>
      <x:c r="C26" s="5" t="str">
        <x:v>SG5 SG6 SG7</x:v>
      </x:c>
      <x:c r="D26" s="5" t="str">
        <x:v>M044 M053 M055 M060</x:v>
      </x:c>
      <x:c r="E26" s="5" t="str">
        <x:v>AT23 AT24 AT26</x:v>
      </x:c>
    </x:row>
    <x:row r="27">
      <x:c r="A27" s="1"/>
      <x:c r="B27" s="1"/>
      <x:c r="C27" s="1"/>
      <x:c r="D27" s="1"/>
      <x:c r="E27" s="1"/>
    </x:row>
    <x:row r="28">
      <x:c r="A28" s="1"/>
      <x:c r="B28" s="1"/>
      <x:c r="C28" s="1"/>
      <x:c r="D28" s="1"/>
      <x:c r="E28" s="1"/>
    </x:row>
  </x:sheetData>
  <x:pageMargins left="0.7" right="0.7" top="0.75" bottom="0.75" header="0.3" footer="0.3"/>
  <x:tableParts count="1">
    <x:tablePart xmlns:r="http://schemas.openxmlformats.org/officeDocument/2006/relationships" r:id="R5cf12e7e9bd849fd"/>
  </x:tableParts>
</x:worksheet>
</file>

<file path=xl/worksheets/sheet7.xml><?xml version="1.0" encoding="utf-8"?>
<x:worksheet xmlns:x="http://schemas.openxmlformats.org/spreadsheetml/2006/main">
  <x:sheetPr>
    <x:tabColor rgb="FF426477"/>
  </x:sheetPr>
  <x:sheetViews>
    <x:sheetView showGridLines="0" workbookViewId="0">
      <x:pane xSplit="4" ySplit="6" topLeftCell="E7" activePane="bottomRight" state="frozen"/>
    </x:sheetView>
  </x:sheetViews>
  <x:sheetFormatPr defaultRowHeight="15"/>
  <x:cols>
    <x:col min="1" max="1" width="11" hidden="0" customWidth="1"/>
    <x:col min="2" max="2" width="8" hidden="0" customWidth="1"/>
    <x:col min="3" max="3" width="8" hidden="0" customWidth="1"/>
    <x:col min="4" max="4" width="29" hidden="0" customWidth="1"/>
    <x:col min="5" max="5" width="24" hidden="0" customWidth="1"/>
    <x:col min="6" max="6" width="65" hidden="0" customWidth="1"/>
    <x:col min="7" max="7" width="48" hidden="0" customWidth="1"/>
    <x:col min="8" max="8" width="65" hidden="0" customWidth="1"/>
    <x:col min="9" max="9" width="48" hidden="0" customWidth="1"/>
    <x:col min="10" max="10" width="57" hidden="0" customWidth="1"/>
    <x:col min="11" max="11" width="30" hidden="0" customWidth="1"/>
    <x:col min="12" max="12" width="27" hidden="0" customWidth="1"/>
    <x:col min="13" max="13" width="20" hidden="0" customWidth="1"/>
    <x:col min="14" max="14" width="46" hidden="0" customWidth="1"/>
    <x:col min="15" max="15" width="35" hidden="0" customWidth="1"/>
  </x:cols>
  <x:sheetData>
    <x:row r="1">
      <x:c r="A1" s="17"/>
      <x:c r="B1" s="17"/>
      <x:c r="C1" s="17"/>
      <x:c r="D1" s="17"/>
      <x:c r="E1" s="17"/>
      <x:c r="F1" s="17"/>
      <x:c r="G1" s="17"/>
      <x:c r="H1" s="17"/>
      <x:c r="I1" s="17"/>
      <x:c r="J1" s="17"/>
      <x:c r="K1" s="17"/>
      <x:c r="L1" s="17"/>
      <x:c r="M1" s="17"/>
      <x:c r="N1" s="17"/>
      <x:c r="O1" s="17"/>
    </x:row>
    <x:row r="2" ht="28" customHeight="1">
      <x:c r="A2" s="18" t="str">
        <x:v>MatriSathi functional requirements by gate</x:v>
      </x:c>
      <x:c r="B2" s="17"/>
      <x:c r="C2" s="17"/>
      <x:c r="D2" s="17"/>
      <x:c r="E2" s="17"/>
      <x:c r="F2" s="17"/>
      <x:c r="G2" s="17"/>
      <x:c r="H2" s="17"/>
      <x:c r="I2" s="17"/>
      <x:c r="J2" s="17"/>
      <x:c r="K2" s="17"/>
      <x:c r="L2" s="17"/>
      <x:c r="M2" s="17"/>
      <x:c r="N2" s="17"/>
      <x:c r="O2" s="17"/>
    </x:row>
    <x:row r="3" ht="23" customHeight="1">
      <x:c r="A3" s="19" t="str">
        <x:v>Version 1.1 | Filter Gate for the required build scope. Existing task dates/hours remain unchanged. Named approvals are still required.</x:v>
      </x:c>
      <x:c r="B3" s="19"/>
      <x:c r="C3" s="19"/>
      <x:c r="D3" s="19"/>
      <x:c r="E3" s="19"/>
      <x:c r="F3" s="19"/>
      <x:c r="G3" s="19"/>
      <x:c r="H3" s="19"/>
      <x:c r="I3" s="19"/>
      <x:c r="J3" s="19"/>
      <x:c r="K3" s="19"/>
      <x:c r="L3" s="19"/>
      <x:c r="M3" s="19"/>
      <x:c r="N3" s="19"/>
      <x:c r="O3" s="19"/>
    </x:row>
    <x:row r="4">
      <x:c r="A4" s="19" t="str">
        <x:v>Gate is the first delivery/verification milestone; controls continue afterward. Open mechanisms and proposed targets need a Decisions tab record.</x:v>
      </x:c>
      <x:c r="B4" s="19"/>
      <x:c r="C4" s="19"/>
      <x:c r="D4" s="19"/>
      <x:c r="E4" s="19"/>
      <x:c r="F4" s="19"/>
      <x:c r="G4" s="19"/>
      <x:c r="H4" s="19"/>
      <x:c r="I4" s="19"/>
      <x:c r="J4" s="19"/>
      <x:c r="K4" s="19"/>
      <x:c r="L4" s="19"/>
      <x:c r="M4" s="19"/>
      <x:c r="N4" s="19"/>
      <x:c r="O4" s="19"/>
    </x:row>
    <x:row r="5">
      <x:c r="A5" s="19" t="str">
        <x:v>Sources: MatriSathi_Specifications_Updated.xlsx v2 + MatriSathi_Functional_Technical_Baseline.docx v1.0 (28 Sep 2026), including standalone amendments.</x:v>
      </x:c>
      <x:c r="B5" s="19"/>
      <x:c r="C5" s="19"/>
      <x:c r="D5" s="19"/>
      <x:c r="E5" s="19"/>
      <x:c r="F5" s="19"/>
      <x:c r="G5" s="19"/>
      <x:c r="H5" s="19"/>
      <x:c r="I5" s="19"/>
      <x:c r="J5" s="19"/>
      <x:c r="K5" s="19"/>
      <x:c r="L5" s="19"/>
      <x:c r="M5" s="19"/>
      <x:c r="N5" s="19"/>
      <x:c r="O5" s="19"/>
    </x:row>
    <x:row r="6" ht="35" customHeight="1">
      <x:c r="A6" s="23" t="str">
        <x:v>Spec ID</x:v>
      </x:c>
      <x:c r="B6" s="23" t="str">
        <x:v>Gate</x:v>
      </x:c>
      <x:c r="C6" s="23" t="str">
        <x:v>Day</x:v>
      </x:c>
      <x:c r="D6" s="23" t="str">
        <x:v>Feature / screen</x:v>
      </x:c>
      <x:c r="E6" s="23" t="str">
        <x:v>Users</x:v>
      </x:c>
      <x:c r="F6" s="23" t="str">
        <x:v>Detailed functionality to build</x:v>
      </x:c>
      <x:c r="G6" s="23" t="str">
        <x:v>Required data</x:v>
      </x:c>
      <x:c r="H6" s="23" t="str">
        <x:v>Workflow rules and exceptions</x:v>
      </x:c>
      <x:c r="I6" s="23" t="str">
        <x:v>Rural / semi-urban use</x:v>
      </x:c>
      <x:c r="J6" s="23" t="str">
        <x:v>What to demonstrate</x:v>
      </x:c>
      <x:c r="K6" s="23" t="str">
        <x:v>Linked task IDs</x:v>
      </x:c>
      <x:c r="L6" s="23" t="str">
        <x:v>Acceptance cases</x:v>
      </x:c>
      <x:c r="M6" s="23" t="str">
        <x:v>Delivery owner</x:v>
      </x:c>
      <x:c r="N6" s="23" t="str">
        <x:v>Required approval / open decision</x:v>
      </x:c>
      <x:c r="O6" s="23" t="str">
        <x:v>Source requirement</x:v>
      </x:c>
    </x:row>
    <x:row r="7" ht="72" customHeight="1">
      <x:c r="A7" s="26" t="str">
        <x:v>F001</x:v>
      </x:c>
      <x:c r="B7" s="26" t="str">
        <x:v>SG0</x:v>
      </x:c>
      <x:c r="C7" s="26" t="n">
        <x:v>2</x:v>
      </x:c>
      <x:c r="D7" s="26" t="str">
        <x:v>Adopt scope and delivery rules</x:v>
      </x:c>
      <x:c r="E7" s="26" t="str">
        <x:v>Team lead; tech lead; doctor</x:v>
      </x:c>
      <x:c r="F7" s="26" t="str">
        <x:v>Confirm the eight care stages, shared requirements, pilot language, two settings, named reviewers and team hours. Record accepted versions and first-stage authorization.</x:v>
      </x:c>
      <x:c r="G7" s="26" t="str">
        <x:v>Scope version; owner names; capacity; site/language; reviewer; approved stage; decision date.</x:v>
      </x:c>
      <x:c r="H7" s="26" t="str">
        <x:v>Standalone application. Essential journeys work without AI. Clinical content needs named approval. Keep required scope; estimate changes are explicit.</x:v>
      </x:c>
      <x:c r="I7" s="26" t="str">
        <x:v>Same essential care/privacy features for NGO/PHC and private sites. Billing automation is deferred.</x:v>
      </x:c>
      <x:c r="J7" s="26" t="str">
        <x:v>SG0 decision record names owners, language, reviewer, capacity and accepted amendments.</x:v>
      </x:c>
      <x:c r="K7" s="26" t="str">
        <x:v>M001 M002</x:v>
      </x:c>
      <x:c r="L7" s="26" t="str">
        <x:v>SG0 evidence</x:v>
      </x:c>
      <x:c r="M7" s="26" t="str">
        <x:v>Team lead</x:v>
      </x:c>
      <x:c r="N7" s="26" t="str">
        <x:v>D01 D02 D03; team lead accepts baseline.</x:v>
      </x:c>
      <x:c r="O7" s="26" t="str">
        <x:v>Baseline §1, §9; R09–R12 as amended</x:v>
      </x:c>
    </x:row>
    <x:row r="8" ht="72" customHeight="1">
      <x:c r="A8" s="27" t="str">
        <x:v>F002</x:v>
      </x:c>
      <x:c r="B8" s="27" t="str">
        <x:v>SG1</x:v>
      </x:c>
      <x:c r="C8" s="27" t="n">
        <x:v>7</x:v>
      </x:c>
      <x:c r="D8" s="27" t="str">
        <x:v>People and pregnancy registration</x:v>
      </x:c>
      <x:c r="E8" s="27" t="str">
        <x:v>Coordinator; authorized patient; clinician</x:v>
      </x:c>
      <x:c r="F8" s="27" t="str">
        <x:v>Find an authorized record or create a person, capture available intake and create a separate pregnancy episode. Save and reopen the same record after reload.</x:v>
      </x:c>
      <x:c r="G8" s="27" t="str">
        <x:v>Person ID; episode ID; owning facility; name; available age/DOB with precision; history; existing medicines/allergies; source; available dates.</x:v>
      </x:c>
      <x:c r="H8" s="27" t="str">
        <x:v>Keep missing history unknown. Do not infer normal findings, risk or diagnosis. No mandatory Aadhaar, ABHA, email or smartphone. Enforce authorized person linking.</x:v>
      </x:c>
      <x:c r="I8" s="27" t="str">
        <x:v>Assisted entry for low-literacy/no-phone users; responsive self-entry where enabled. Available MCP records may be attached in SG2.</x:v>
      </x:c>
      <x:c r="J8" s="27" t="str">
        <x:v>Register early, late and unknown-date cases; reopen persisted record; reject inaccessible person links.</x:v>
      </x:c>
      <x:c r="K8" s="27" t="str">
        <x:v>M004 M005 M006 M008</x:v>
      </x:c>
      <x:c r="L8" s="27" t="str">
        <x:v>AT03 AT05; AT06 at SG2</x:v>
      </x:c>
      <x:c r="M8" s="27" t="str">
        <x:v>Developer</x:v>
      </x:c>
      <x:c r="N8" s="27" t="str">
        <x:v>Doctor validates intake; tech lead approves identity design.</x:v>
      </x:c>
      <x:c r="O8" s="27" t="str">
        <x:v>Stage 1; R02 R09; Baseline §2–3, §7</x:v>
      </x:c>
    </x:row>
    <x:row r="9" ht="72" customHeight="1">
      <x:c r="A9" s="26" t="str">
        <x:v>F003</x:v>
      </x:c>
      <x:c r="B9" s="26" t="str">
        <x:v>SG1</x:v>
      </x:c>
      <x:c r="C9" s="26" t="n">
        <x:v>7</x:v>
      </x:c>
      <x:c r="D9" s="26" t="str">
        <x:v>Shared phones and contact changes</x:v>
      </x:c>
      <x:c r="E9" s="26" t="str">
        <x:v>Patient; coordinator</x:v>
      </x:c>
      <x:c r="F9" s="26" t="str">
        <x:v>Store contact separately from person identity. Confirm which person a contact relates to and record safe preferences. Review suspected duplicates manually.</x:v>
      </x:c>
      <x:c r="G9" s="26" t="str">
        <x:v>Contact value; linked person; verification evidence/status; preferred language; contact owner; change actor/date.</x:v>
      </x:c>
      <x:c r="H9" s="26" t="str">
        <x:v>A phone number may belong to several people. Never merge by number or transfer identity on number change. Uncertain identity cannot expose records.</x:v>
      </x:c>
      <x:c r="I9" s="26" t="str">
        <x:v>Support shared family handsets and no-phone assisted contact. No household-wide access from possession of a number.</x:v>
      </x:c>
      <x:c r="J9" s="26" t="str">
        <x:v>Two women with one number have independent records; number change does not grant another person access.</x:v>
      </x:c>
      <x:c r="K9" s="26" t="str">
        <x:v>M003 M005 M006</x:v>
      </x:c>
      <x:c r="L9" s="26" t="str">
        <x:v>AT02 AT03</x:v>
      </x:c>
      <x:c r="M9" s="26" t="str">
        <x:v>Developer</x:v>
      </x:c>
      <x:c r="N9" s="26" t="str">
        <x:v>Tech lead reviews reference and search permissions.</x:v>
      </x:c>
      <x:c r="O9" s="26" t="str">
        <x:v>R02; Stage 1; Baseline §2, §7</x:v>
      </x:c>
    </x:row>
    <x:row r="10" ht="72" customHeight="1">
      <x:c r="A10" s="27" t="str">
        <x:v>F004</x:v>
      </x:c>
      <x:c r="B10" s="27" t="str">
        <x:v>SG1</x:v>
      </x:c>
      <x:c r="C10" s="27" t="n">
        <x:v>7</x:v>
      </x:c>
      <x:c r="D10" s="27" t="str">
        <x:v>Staff roles and assigned records</x:v>
      </x:c>
      <x:c r="E10" s="27" t="str">
        <x:v>Org admin; coordinator; ASHA; ANM/nurse; doctor</x:v>
      </x:c>
      <x:c r="F10" s="27" t="str">
        <x:v>Admin manages authorized memberships. Staff sees only facilities and records permitted by role and assignment. Clinician-only actions are reserved for clinical users.</x:v>
      </x:c>
      <x:c r="G10" s="27" t="str">
        <x:v>Organization; facility; staff membership; capabilities; assignment; active/revoked state; audit actor.</x:v>
      </x:c>
      <x:c r="H10" s="27" t="str">
        <x:v>Admin role alone gives no clinical-record access. ASHA cannot approve a clinical plan or mark report review. Revocation affects subsequent requests.</x:v>
      </x:c>
      <x:c r="I10" s="27" t="str">
        <x:v>Assign workers according to actual training, availability and equipment; no village-wide access assumption.</x:v>
      </x:c>
      <x:c r="J10" s="27" t="str">
        <x:v>Compare doctor, field worker and admin views in two organizations; revoke membership and retry access.</x:v>
      </x:c>
      <x:c r="K10" s="27" t="str">
        <x:v>M003 M005 M008</x:v>
      </x:c>
      <x:c r="L10" s="27" t="str">
        <x:v>AT01 AT02 AT03 AT04</x:v>
      </x:c>
      <x:c r="M10" s="27" t="str">
        <x:v>Developer</x:v>
      </x:c>
      <x:c r="N10" s="27" t="str">
        <x:v>Doctor confirms field role boundaries; tech lead confirms enforcement.</x:v>
      </x:c>
      <x:c r="O10" s="27" t="str">
        <x:v>R02 R05 R07; Baseline §2, §8</x:v>
      </x:c>
    </x:row>
    <x:row r="11" ht="72" customHeight="1">
      <x:c r="A11" s="26" t="str">
        <x:v>F005</x:v>
      </x:c>
      <x:c r="B11" s="26" t="str">
        <x:v>SG2</x:v>
      </x:c>
      <x:c r="C11" s="26" t="n">
        <x:v>14</x:v>
      </x:c>
      <x:c r="D11" s="26" t="str">
        <x:v>Dating and local care plans</x:v>
      </x:c>
      <x:c r="E11" s="26" t="str">
        <x:v>Doctor; authorized coordinator; patient</x:v>
      </x:c>
      <x:c r="F11" s="26" t="str">
        <x:v>Record provisional dating and its source. Clinician confirms or corrects dating and activates a versioned local ANC plan with individual exceptions. Publish future care actions.</x:v>
      </x:c>
      <x:c r="G11" s="26" t="str">
        <x:v>Episode; LMP/other dating if supplied; source/precision; confirmation; template/version; approver; effective date; individual dates.</x:v>
      </x:c>
      <x:c r="H11" s="26" t="str">
        <x:v>Unknown dates stay unknown. Do not invent previous visits. Correcting dates preserves historical care and cancels/replaces obsolete future reminders. Resource tier does not select a clinical standard.</x:v>
      </x:c>
      <x:c r="I11" s="26" t="str">
        <x:v>Works at first contact at any gestation. Only locally adopted schedules and actually available appointments are shown.</x:v>
      </x:c>
      <x:c r="J11" s="26" t="str">
        <x:v>Late and unknown-date entry works; clinician changes date/plan; completed events stay intact and old reminders stop.</x:v>
      </x:c>
      <x:c r="K11" s="26" t="str">
        <x:v>M009 M011 M015</x:v>
      </x:c>
      <x:c r="L11" s="26" t="str">
        <x:v>AT06</x:v>
      </x:c>
      <x:c r="M11" s="26" t="str">
        <x:v>Developer</x:v>
      </x:c>
      <x:c r="N11" s="26" t="str">
        <x:v>D05; doctor approves actual schedule, sources and wording.</x:v>
      </x:c>
      <x:c r="O11" s="26" t="str">
        <x:v>Stage 1–3; R05; Baseline §3, §5</x:v>
      </x:c>
    </x:row>
    <x:row r="12" ht="72" customHeight="1">
      <x:c r="A12" s="27" t="str">
        <x:v>F006</x:v>
      </x:c>
      <x:c r="B12" s="27" t="str">
        <x:v>SG2</x:v>
      </x:c>
      <x:c r="C12" s="27" t="n">
        <x:v>14</x:v>
      </x:c>
      <x:c r="D12" s="27" t="str">
        <x:v>Patient next-action view</x:v>
      </x:c>
      <x:c r="E12" s="27" t="str">
        <x:v>Patient; delegated caregiver; coordinator</x:v>
      </x:c>
      <x:c r="F12" s="27" t="str">
        <x:v>Show the next confirmed action, date/location if known, preparation, status and help route. Let the person report done, not done or need help and request a callback.</x:v>
      </x:c>
      <x:c r="G12" s="27" t="str">
        <x:v>Subject; approved action; due date/status; preparation version; contact; reported response; barrier; last update.</x:v>
      </x:c>
      <x:c r="H12" s="27" t="str">
        <x:v>Keep patient-reported completion distinct from staff verification. Missing logs stay unknown. Do not infer non-adherence or clinical urgency.</x:v>
      </x:c>
      <x:c r="I12" s="27" t="str">
        <x:v>Large controls and plain language. Staff can explain and print next steps; phone/assisted fallback when data is unavailable.</x:v>
      </x:c>
      <x:c r="J12" s="27" t="str">
        <x:v>Patient identifies next action and help route; staff sees a help request with owner and context.</x:v>
      </x:c>
      <x:c r="K12" s="27" t="str">
        <x:v>M011 M013</x:v>
      </x:c>
      <x:c r="L12" s="27" t="str">
        <x:v>AT07 AT10 AT28</x:v>
      </x:c>
      <x:c r="M12" s="27" t="str">
        <x:v>Developer</x:v>
      </x:c>
      <x:c r="N12" s="27" t="str">
        <x:v>Doctor reviews preparation; team lead reviews usability.</x:v>
      </x:c>
      <x:c r="O12" s="27" t="str">
        <x:v>Stages 1–3; R03 R06; Baseline §2–3</x:v>
      </x:c>
    </x:row>
    <x:row r="13" ht="72" customHeight="1">
      <x:c r="A13" s="26" t="str">
        <x:v>F007</x:v>
      </x:c>
      <x:c r="B13" s="26" t="str">
        <x:v>SG2</x:v>
      </x:c>
      <x:c r="C13" s="26" t="n">
        <x:v>14</x:v>
      </x:c>
      <x:c r="D13" s="26" t="str">
        <x:v>Appointments and rescheduling</x:v>
      </x:c>
      <x:c r="E13" s="26" t="str">
        <x:v>Patient; coordinator; clinic staff</x:v>
      </x:c>
      <x:c r="F13" s="26" t="str">
        <x:v>Request an appointment, confirm actual date/site, record attendance or missed visit, and reschedule/cancel. Create an owned follow-up after a missed visit.</x:v>
      </x:c>
      <x:c r="G13" s="26" t="str">
        <x:v>Appointment ID; subject; requested/confirmed time; facility/contact; status; prior appointment; owner; reason.</x:v>
      </x:c>
      <x:c r="H13" s="26" t="str">
        <x:v>States: requested, confirmed, attended, missed, rescheduled, cancelled. Preserve old event; cancel obsolete reminders. Booking is a request until a person confirms.</x:v>
      </x:c>
      <x:c r="I13" s="26" t="str">
        <x:v>No assumption of live hospital scheduling integration. Staff confirms local clinic/community availability manually.</x:v>
      </x:c>
      <x:c r="J13" s="26" t="str">
        <x:v>Miss a visit, assign follow-up, reschedule once and show only the current reminder is eligible.</x:v>
      </x:c>
      <x:c r="K13" s="26" t="str">
        <x:v>M009 M011 M016</x:v>
      </x:c>
      <x:c r="L13" s="26" t="str">
        <x:v>AT07</x:v>
      </x:c>
      <x:c r="M13" s="26" t="str">
        <x:v>Developer</x:v>
      </x:c>
      <x:c r="N13" s="26" t="str">
        <x:v>Doctor and coordinator validate actual booking workflow.</x:v>
      </x:c>
      <x:c r="O13" s="26" t="str">
        <x:v>Stage 2; R03 R05; Baseline §5</x:v>
      </x:c>
    </x:row>
    <x:row r="14" ht="72" customHeight="1">
      <x:c r="A14" s="27" t="str">
        <x:v>F008</x:v>
      </x:c>
      <x:c r="B14" s="27" t="str">
        <x:v>SG2</x:v>
      </x:c>
      <x:c r="C14" s="27" t="n">
        <x:v>14</x:v>
      </x:c>
      <x:c r="D14" s="27" t="str">
        <x:v>Owned tasks and practical barriers</x:v>
      </x:c>
      <x:c r="E14" s="27" t="str">
        <x:v>Coordinator; ASHA; ANM/nurse; patient</x:v>
      </x:c>
      <x:c r="F14" s="27" t="str">
        <x:v>Assign follow-up, record due time, contact attempt and patient barriers, and close with result/reason. Reassign unavailable staff and overdue work to a backup.</x:v>
      </x:c>
      <x:c r="G14" s="27" t="str">
        <x:v>Task type; subject; owner/backup; due time; state; attempt time; travel/cost/medicine-access barrier; closure reason.</x:v>
      </x:c>
      <x:c r="H14" s="27" t="str">
        <x:v>States: new, assigned, awaiting patient, completed, cancelled. Declined, unreachable and unknown remain distinct outcomes. Overdue means administrative delay, not clinical risk.</x:v>
      </x:c>
      <x:c r="I14" s="27" t="str">
        <x:v>No daily field visits or kit availability assumed. Use actual staff acceptance and facility fallback.</x:v>
      </x:c>
      <x:c r="J14" s="27" t="str">
        <x:v>Unavailable worker and unreachable family both retain owned unresolved work; completion has recorded outcome.</x:v>
      </x:c>
      <x:c r="K14" s="27" t="str">
        <x:v>M009 M011 M029 M044</x:v>
      </x:c>
      <x:c r="L14" s="27" t="str">
        <x:v>AT07 AT23 AT27</x:v>
      </x:c>
      <x:c r="M14" s="27" t="str">
        <x:v>Developer</x:v>
      </x:c>
      <x:c r="N14" s="27" t="str">
        <x:v>Doctor validates role limits; facility confirms available owners.</x:v>
      </x:c>
      <x:c r="O14" s="27" t="str">
        <x:v>R03 R05 R11; Baseline §5</x:v>
      </x:c>
    </x:row>
    <x:row r="15" ht="72" customHeight="1">
      <x:c r="A15" s="26" t="str">
        <x:v>F009</x:v>
      </x:c>
      <x:c r="B15" s="26" t="str">
        <x:v>SG2</x:v>
      </x:c>
      <x:c r="C15" s="26" t="n">
        <x:v>14</x:v>
      </x:c>
      <x:c r="D15" s="26" t="str">
        <x:v>Investigations and report review</x:v>
      </x:c>
      <x:c r="E15" s="26" t="str">
        <x:v>Patient; nurse; coordinator; clinician</x:v>
      </x:c>
      <x:c r="F15" s="26" t="str">
        <x:v>Record requested tests, performed event, report receipt/upload and clinical review as separate steps. Route missing records and review work to named staff.</x:v>
      </x:c>
      <x:c r="G15" s="26" t="str">
        <x:v>Test/request; request/performed/received dates; source; private file; reviewing clinician/date; next approved action.</x:v>
      </x:c>
      <x:c r="H15" s="26" t="str">
        <x:v>Requested → performed → received → reviewed. A received outside report may have unknown earlier dates; retain them as unknown. Only an authorized clinician records review. No report interpretation.</x:v>
      </x:c>
      <x:c r="I15" s="26" t="str">
        <x:v>Accept available paper/MCP photos or PDFs through staff-assisted upload; preserve originals.</x:v>
      </x:c>
      <x:c r="J15" s="26" t="str">
        <x:v>Upload is displayed as received, not reviewed; non-clinician review attempt fails; clinician review is attributable.</x:v>
      </x:c>
      <x:c r="K15" s="26" t="str">
        <x:v>M009 M012 M016</x:v>
      </x:c>
      <x:c r="L15" s="26" t="str">
        <x:v>AT08 AT32</x:v>
      </x:c>
      <x:c r="M15" s="26" t="str">
        <x:v>Developer</x:v>
      </x:c>
      <x:c r="N15" s="26" t="str">
        <x:v>Doctor approves review workflow.</x:v>
      </x:c>
      <x:c r="O15" s="26" t="str">
        <x:v>Stage 2; R03 R07; Baseline §3, §5</x:v>
      </x:c>
    </x:row>
    <x:row r="16" ht="72" customHeight="1">
      <x:c r="A16" s="27" t="str">
        <x:v>F010</x:v>
      </x:c>
      <x:c r="B16" s="27" t="str">
        <x:v>SG2</x:v>
      </x:c>
      <x:c r="C16" s="27" t="n">
        <x:v>14</x:v>
      </x:c>
      <x:c r="D16" s="27" t="str">
        <x:v>Existing prescriptions and reminders</x:v>
      </x:c>
      <x:c r="E16" s="27" t="str">
        <x:v>Patient; caregiver with grant; clinician; coordinator</x:v>
      </x:c>
      <x:c r="F16" s="27" t="str">
        <x:v>Display an already issued prescription and set a reminder only from confirmed instructions. Route unclear medicine instructions to a clinician.</x:v>
      </x:c>
      <x:c r="G16" s="27" t="str">
        <x:v>Original prescription/source/date; confirmed instruction; clinician/confirmation; reminder timing; start/end if supplied; pause.</x:v>
      </x:c>
      <x:c r="H16" s="27" t="str">
        <x:v>Do not suggest drugs, calculate dose/duration or rewrite prescriptions. Keep changes and originals traceable. Uncertainty blocks the affected reminder until reviewed.</x:v>
      </x:c>
      <x:c r="I16" s="27" t="str">
        <x:v>Support assisted reading and approved medicine-use education. Record availability/cost barriers as help requests.</x:v>
      </x:c>
      <x:c r="J16" s="27" t="str">
        <x:v>Known instruction produces the agreed reminder; ambiguous instruction creates review work without invented dosing.</x:v>
      </x:c>
      <x:c r="K16" s="27" t="str">
        <x:v>M012 M021</x:v>
      </x:c>
      <x:c r="L16" s="27" t="str">
        <x:v>AT08 AT12 AT14</x:v>
      </x:c>
      <x:c r="M16" s="27" t="str">
        <x:v>Developer</x:v>
      </x:c>
      <x:c r="N16" s="27" t="str">
        <x:v>Doctor confirms instruction and patient wording.</x:v>
      </x:c>
      <x:c r="O16" s="27" t="str">
        <x:v>Stage 2; R03 R06; Baseline §3, §7</x:v>
      </x:c>
    </x:row>
    <x:row r="17" ht="72" customHeight="1">
      <x:c r="A17" s="26" t="str">
        <x:v>F011</x:v>
      </x:c>
      <x:c r="B17" s="26" t="str">
        <x:v>SG2</x:v>
      </x:c>
      <x:c r="C17" s="26" t="n">
        <x:v>14</x:v>
      </x:c>
      <x:c r="D17" s="26" t="str">
        <x:v>Referrals and return advice</x:v>
      </x:c>
      <x:c r="E17" s="26" t="str">
        <x:v>Clinician; coordinator; receiving team</x:v>
      </x:c>
      <x:c r="F17" s="26" t="str">
        <x:v>Record clinician-selected destination and urgency, contact the receiving service, track attendance and returned advice, and assign resulting follow-up.</x:v>
      </x:c>
      <x:c r="G17" s="26" t="str">
        <x:v>Referral ID; subject; destination/contact; clinician instruction; receiving owner; sent/contacted/attended/advice dates; closure reason.</x:v>
      </x:c>
      <x:c r="H17" s="26" t="str">
        <x:v>States: sent, contacted, attended, advice received, follow-up completed, or explicit closure reason. A message sent does not close the referral. No automatic specialist/risk matching.</x:v>
      </x:c>
      <x:c r="I17" s="26" t="str">
        <x:v>Use verified local services, phone calls and manual external records; no hospital-system integration required.</x:v>
      </x:c>
      <x:c r="J17" s="26" t="str">
        <x:v>Demonstrate missed attendance, return advice and open follow-up; close only with defined outcome/reason.</x:v>
      </x:c>
      <x:c r="K17" s="26" t="str">
        <x:v>M012 M016 M028</x:v>
      </x:c>
      <x:c r="L17" s="26" t="str">
        <x:v>AT09 AT18</x:v>
      </x:c>
      <x:c r="M17" s="26" t="str">
        <x:v>Developer</x:v>
      </x:c>
      <x:c r="N17" s="26" t="str">
        <x:v>Doctor validates referral destination/urgency and closure meaning.</x:v>
      </x:c>
      <x:c r="O17" s="26" t="str">
        <x:v>Stages 2, 6–8; R03 R04; Baseline §5</x:v>
      </x:c>
    </x:row>
    <x:row r="18" ht="72" customHeight="1">
      <x:c r="A18" s="27" t="str">
        <x:v>F012</x:v>
      </x:c>
      <x:c r="B18" s="27" t="str">
        <x:v>SG2</x:v>
      </x:c>
      <x:c r="C18" s="27" t="n">
        <x:v>14</x:v>
      </x:c>
      <x:c r="D18" s="27" t="str">
        <x:v>Raw observations and clinician findings</x:v>
      </x:c>
      <x:c r="E18" s="27" t="str">
        <x:v>Authorized nurse; clinician; coordinator</x:v>
      </x:c>
      <x:c r="F18" s="27" t="str">
        <x:v>Record available dated observations and source records; show measurement history and clinician-entered findings alongside the next approved action.</x:v>
      </x:c>
      <x:c r="G18" s="27" t="str">
        <x:v>Observation name; raw value; unit; actual service date; entry date; source; recorder; clinician finding if supplied.</x:v>
      </x:c>
      <x:c r="H18" s="27" t="str">
        <x:v>No threshold alerts, inferred high risk, fetal growth interpretation or automatic non-adherence. Preserve unknown values; correction records reason and prior value.</x:v>
      </x:c>
      <x:c r="I18" s="27" t="str">
        <x:v>Only measurements actually taken with available equipment and trained staff are entered.</x:v>
      </x:c>
      <x:c r="J18" s="27" t="str">
        <x:v>Enter a measurement and external finding; no generated judgment appears; date/unit/source remain visible.</x:v>
      </x:c>
      <x:c r="K18" s="27" t="str">
        <x:v>M012 M015</x:v>
      </x:c>
      <x:c r="L18" s="27" t="str">
        <x:v>AT08 AT31</x:v>
      </x:c>
      <x:c r="M18" s="27" t="str">
        <x:v>Developer</x:v>
      </x:c>
      <x:c r="N18" s="27" t="str">
        <x:v>Doctor approves allowed fields and units before use.</x:v>
      </x:c>
      <x:c r="O18" s="27" t="str">
        <x:v>Stage 2; G07; R03 R05; Baseline §7</x:v>
      </x:c>
    </x:row>
    <x:row r="19" ht="72" customHeight="1">
      <x:c r="A19" s="26" t="str">
        <x:v>F013</x:v>
      </x:c>
      <x:c r="B19" s="26" t="str">
        <x:v>SG2</x:v>
      </x:c>
      <x:c r="C19" s="26" t="n">
        <x:v>14</x:v>
      </x:c>
      <x:c r="D19" s="26" t="str">
        <x:v>Birth preparation plan</x:v>
      </x:c>
      <x:c r="E19" s="26" t="str">
        <x:v>Patient/family; ASHA; coordinator; doctor</x:v>
      </x:c>
      <x:c r="F19" s="26" t="str">
        <x:v>Capture chosen delivery site, clinician-selected referral site, companion, practical transport plan, landmarks and alternate contacts. Review changes with family and print/save the plan.</x:v>
      </x:c>
      <x:c r="G19" s="26" t="str">
        <x:v>Site names; verified numbers; verification owner/date; alternate; landmarks; companion; transport arrangement; handover acceptance if known.</x:v>
      </x:c>
      <x:c r="H19" s="26" t="str">
        <x:v>Manual confirmation only. No dispatch, ETA, GPS, geofence, cab booking or guarantee of transport suitability/availability.</x:v>
      </x:c>
      <x:c r="I19" s="26" t="str">
        <x:v>Landmarks and printed plan work without location permissions. Verify locally applicable emergency numbers before publishing.</x:v>
      </x:c>
      <x:c r="J19" s="26" t="str">
        <x:v>Open and print the plan; show dated primary/alternate contacts and an agreed fallback if transport unavailable.</x:v>
      </x:c>
      <x:c r="K19" s="26" t="str">
        <x:v>M013 M015</x:v>
      </x:c>
      <x:c r="L19" s="26" t="str">
        <x:v>AT10</x:v>
      </x:c>
      <x:c r="M19" s="26" t="str">
        <x:v>Developer</x:v>
      </x:c>
      <x:c r="N19" s="26" t="str">
        <x:v>Doctor approves clinical plan and urgent wording; coordinator verifies contacts.</x:v>
      </x:c>
      <x:c r="O19" s="26" t="str">
        <x:v>Stage 3; R06; Baseline §3</x:v>
      </x:c>
    </x:row>
    <x:row r="20" ht="72" customHeight="1">
      <x:c r="A20" s="27" t="str">
        <x:v>F014</x:v>
      </x:c>
      <x:c r="B20" s="27" t="str">
        <x:v>SG2</x:v>
      </x:c>
      <x:c r="C20" s="27" t="n">
        <x:v>14</x:v>
      </x:c>
      <x:c r="D20" s="27" t="str">
        <x:v>Public urgent help and service hours</x:v>
      </x:c>
      <x:c r="E20" s="27" t="str">
        <x:v>Patient; family; staff</x:v>
      </x:c>
      <x:c r="F20" s="27" t="str">
        <x:v>Provide approved urgent instructions and verified telephone routes without login. Open the dialler on supported devices. Explain messaging support hours and direct after-hours route.</x:v>
      </x:c>
      <x:c r="G20" s="27" t="str">
        <x:v>Public approved instruction version; facility/alternate number; verification date/owner; support hours; response expectation.</x:v>
      </x:c>
      <x:c r="H20" s="27" t="str">
        <x:v>Opening dialler is not proof of connection or dispatch. Do not suggest waiting for a chat reply in an emergency. No automated symptom triage.</x:v>
      </x:c>
      <x:c r="I20" s="27" t="str">
        <x:v>Readable public text, reviewed audio when available, print and ordinary telephone fallback. No GPS/account dependency.</x:v>
      </x:c>
      <x:c r="J20" s="27" t="str">
        <x:v>Signed-out user reaches the verified contact route; chat does not promise emergency monitoring.</x:v>
      </x:c>
      <x:c r="K20" s="27" t="str">
        <x:v>M013 M015 M022 M053</x:v>
      </x:c>
      <x:c r="L20" s="27" t="str">
        <x:v>AT10 AT14 AT27</x:v>
      </x:c>
      <x:c r="M20" s="27" t="str">
        <x:v>Developer</x:v>
      </x:c>
      <x:c r="N20" s="27" t="str">
        <x:v>Doctor approves urgent content; facility confirms actual hours before live use.</x:v>
      </x:c>
      <x:c r="O20" s="27" t="str">
        <x:v>Stages 3–6; R06 R11; Baseline §2–3</x:v>
      </x:c>
    </x:row>
    <x:row r="21" ht="72" customHeight="1">
      <x:c r="A21" s="26" t="str">
        <x:v>F015</x:v>
      </x:c>
      <x:c r="B21" s="26" t="str">
        <x:v>SG2</x:v>
      </x:c>
      <x:c r="C21" s="26" t="n">
        <x:v>14</x:v>
      </x:c>
      <x:c r="D21" s="26" t="str">
        <x:v>Patient access and adult delegation</x:v>
      </x:c>
      <x:c r="E21" s="26" t="str">
        <x:v>Patient; caregiver; authorized verifier</x:v>
      </x:c>
      <x:c r="F21" s="26" t="str">
        <x:v>Verify the subject through the agreed patient-access process. Grant limited adult caregiver permissions, show current grants and revoke access. Use safe sessions on shared devices.</x:v>
      </x:c>
      <x:c r="G21" s="26" t="str">
        <x:v>Verified subject; verifier/evidence; grantor; caregiver; allowed records/actions; expiry/revocation; session.</x:v>
      </x:c>
      <x:c r="H21" s="26" t="str">
        <x:v>Phone possession alone is insufficient. Check scope on each request and download; revocation takes effect on next request. No automatic disclosure of private concerns.</x:v>
      </x:c>
      <x:c r="I21" s="26" t="str">
        <x:v>Assisted verification for no-phone users; family members on one handset remain separate.</x:v>
      </x:c>
      <x:c r="J21" s="26" t="str">
        <x:v>Authorized caregiver sees granted records only; revoked caregiver and another phone-sharing person are denied.</x:v>
      </x:c>
      <x:c r="K21" s="26" t="str">
        <x:v>M010 M013 M016</x:v>
      </x:c>
      <x:c r="L21" s="26" t="str">
        <x:v>AT28 AT02 AT32</x:v>
      </x:c>
      <x:c r="M21" s="26" t="str">
        <x:v>Developer</x:v>
      </x:c>
      <x:c r="N21" s="26" t="str">
        <x:v>D07 must select concrete verification/recovery method; do not invent it.</x:v>
      </x:c>
      <x:c r="O21" s="26" t="str">
        <x:v>R02 R07; Baseline §2, §8</x:v>
      </x:c>
    </x:row>
    <x:row r="22" ht="72" customHeight="1">
      <x:c r="A22" s="27" t="str">
        <x:v>F044</x:v>
      </x:c>
      <x:c r="B22" s="27" t="str">
        <x:v>SG2</x:v>
      </x:c>
      <x:c r="C22" s="27" t="n">
        <x:v>14</x:v>
      </x:c>
      <x:c r="D22" s="27" t="str">
        <x:v>Verified local service contacts</x:v>
      </x:c>
      <x:c r="E22" s="27" t="str">
        <x:v>Coordinator; ASHA; patient/family</x:v>
      </x:c>
      <x:c r="F22" s="27" t="str">
        <x:v>Maintain locally verified PHC, referral, transport, nutrition and benefit contacts. Help the family contact a real service and record practical follow-up.</x:v>
      </x:c>
      <x:c r="G22" s="27" t="str">
        <x:v>Service name/type; contact/alternate; locality/landmarks; verification owner/date; availability notes; referral/follow-up link.</x:v>
      </x:c>
      <x:c r="H22" s="27" t="str">
        <x:v>No automatic eligibility, benefit claims, transport booking or government integration. Staff verifies availability and updates stale details.</x:v>
      </x:c>
      <x:c r="I22" s="27" t="str">
        <x:v>Ordinary telephone calls and printed contacts work in both settings; never promise a free or available service without confirmation.</x:v>
      </x:c>
      <x:c r="J22" s="27" t="str">
        <x:v>Find a local contact, identify its last verifier/date and create an owned follow-up when the service is unavailable.</x:v>
      </x:c>
      <x:c r="K22" s="27" t="str">
        <x:v>M012 M013 M015</x:v>
      </x:c>
      <x:c r="L22" s="27" t="str">
        <x:v>AT09 AT10 AT07</x:v>
      </x:c>
      <x:c r="M22" s="27" t="str">
        <x:v>Developer</x:v>
      </x:c>
      <x:c r="N22" s="27" t="str">
        <x:v>Facility verifies contacts; doctor approves clinical referral routes.</x:v>
      </x:c>
      <x:c r="O22" s="27" t="str">
        <x:v>R03; Stage 3; Baseline §3, §5</x:v>
      </x:c>
    </x:row>
    <x:row r="23" ht="72" customHeight="1">
      <x:c r="A23" s="26" t="str">
        <x:v>F016</x:v>
      </x:c>
      <x:c r="B23" s="26" t="str">
        <x:v>SG3</x:v>
      </x:c>
      <x:c r="C23" s="26" t="n">
        <x:v>21</x:v>
      </x:c>
      <x:c r="D23" s="26" t="str">
        <x:v>Channel and safe-contact preferences</x:v>
      </x:c>
      <x:c r="E23" s="26" t="str">
        <x:v>Patient; coordinator</x:v>
      </x:c>
      <x:c r="F23" s="26" t="str">
        <x:v>Record WhatsApp permission, preferred language, safe time and permitted message detail. Allow opt-out and callback request; show and enforce current preferences.</x:v>
      </x:c>
      <x:c r="G23" s="26" t="str">
        <x:v>Subject/contact; permission status/time/source; language; safe time; detail level; opt-out; callback owner.</x:v>
      </x:c>
      <x:c r="H23" s="26" t="str">
        <x:v>Recheck preferences before sending. Revocation/opt-out cancels ineligible pending messages. A channel opt-out does not erase medical records.</x:v>
      </x:c>
      <x:c r="I23" s="26" t="str">
        <x:v>Minimal notifications on shared phones. Assisted or telephone contact remains available when WhatsApp is unsuitable.</x:v>
      </x:c>
      <x:c r="J23" s="26" t="str">
        <x:v>Change safe timing and opt out with a queued reminder; affected message is not sent and fallback is visible.</x:v>
      </x:c>
      <x:c r="K23" s="26" t="str">
        <x:v>M019 M021 M022 M007</x:v>
      </x:c>
      <x:c r="L23" s="26" t="str">
        <x:v>AT12 AT14 AT28</x:v>
      </x:c>
      <x:c r="M23" s="26" t="str">
        <x:v>Developer</x:v>
      </x:c>
      <x:c r="N23" s="26" t="str">
        <x:v>Doctor reviews template wording; team lead approves provider setup.</x:v>
      </x:c>
      <x:c r="O23" s="26" t="str">
        <x:v>R01 R02 R07; Baseline §2, §5</x:v>
      </x:c>
    </x:row>
    <x:row r="24" ht="72" customHeight="1">
      <x:c r="A24" s="27" t="str">
        <x:v>F017</x:v>
      </x:c>
      <x:c r="B24" s="27" t="str">
        <x:v>SG3</x:v>
      </x:c>
      <x:c r="C24" s="27" t="n">
        <x:v>21</x:v>
      </x:c>
      <x:c r="D24" s="27" t="str">
        <x:v>Real WhatsApp reminders and delivery</x:v>
      </x:c>
      <x:c r="E24" s="27" t="str">
        <x:v>Patient; coordinator</x:v>
      </x:c>
      <x:c r="F24" s="27" t="str">
        <x:v>Send approved templates for confirmed actions through the official provider. Record status updates and expose failed/uncertain delivery for human follow-up.</x:v>
      </x:c>
      <x:c r="G24" s="27" t="str">
        <x:v>Business operation ID; provider message ID; authorized recipient; template/language/version; plan version; send time; callback status.</x:v>
      </x:c>
      <x:c r="H24" s="27" t="str">
        <x:v>Submitted/sent/delivered/failed/unknown are distinct. Delivery is not clinical review. Respect current approved provider rules; no blind resend after uncertain timeout.</x:v>
      </x:c>
      <x:c r="I24" s="27" t="str">
        <x:v>Use permitted audio link/reply route. Ordinary call/assisted fallback for failure; no assumption of free messaging.</x:v>
      </x:c>
      <x:c r="J24" s="27" t="str">
        <x:v>Actual template arrives on staff test handset; callbacks, duplicate events, stale schedule and failed delivery handled.</x:v>
      </x:c>
      <x:c r="K24" s="27" t="str">
        <x:v>M014 M017 M019 M024</x:v>
      </x:c>
      <x:c r="L24" s="27" t="str">
        <x:v>AT11 AT12</x:v>
      </x:c>
      <x:c r="M24" s="27" t="str">
        <x:v>Developer</x:v>
      </x:c>
      <x:c r="N24" s="27" t="str">
        <x:v>D06; real provider approval and budget required for SG3 pass.</x:v>
      </x:c>
      <x:c r="O24" s="27" t="str">
        <x:v>R01 R10; Baseline §5, §8</x:v>
      </x:c>
    </x:row>
    <x:row r="25" ht="72" customHeight="1">
      <x:c r="A25" s="26" t="str">
        <x:v>F018</x:v>
      </x:c>
      <x:c r="B25" s="26" t="str">
        <x:v>SG3</x:v>
      </x:c>
      <x:c r="C25" s="26" t="n">
        <x:v>21</x:v>
      </x:c>
      <x:c r="D25" s="26" t="str">
        <x:v>Human-owned text and voice inbox</x:v>
      </x:c>
      <x:c r="E25" s="26" t="str">
        <x:v>Coordinator; nurse; clinician</x:v>
      </x:c>
      <x:c r="F25" s="26" t="str">
        <x:v>Receive text/audio/photo into an authorized inbox. Staff identifies the subject, listens to original audio, assigns owner/backup, replies or routes to a clinician and records resolution.</x:v>
      </x:c>
      <x:c r="G25" s="26" t="str">
        <x:v>Provider inbound ID; sender contact; verified subject if known; original media; owner/backup; state; timestamps; resolution.</x:v>
      </x:c>
      <x:c r="H25" s="26" t="str">
        <x:v>States: new, being handled, awaiting patient, resolved. Ambiguous shared-phone messages remain restricted and unlinked. No transcription, AI clinical answer, triage or reassurance.</x:v>
      </x:c>
      <x:c r="I25" s="26" t="str">
        <x:v>Human local-language handling. Callback route when staff cannot understand audio or identity remains uncertain.</x:v>
      </x:c>
      <x:c r="J25" s="26" t="str">
        <x:v>Receive real voice/photo; hold ambiguous message; verify before linking; route a clinical question and show ownership.</x:v>
      </x:c>
      <x:c r="K25" s="26" t="str">
        <x:v>M018 M020 M024</x:v>
      </x:c>
      <x:c r="L25" s="26" t="str">
        <x:v>AT13 AT23 AT27</x:v>
      </x:c>
      <x:c r="M25" s="26" t="str">
        <x:v>Developer</x:v>
      </x:c>
      <x:c r="N25" s="26" t="str">
        <x:v>Facility assigns response owners; doctor confirms clinical routing.</x:v>
      </x:c>
      <x:c r="O25" s="26" t="str">
        <x:v>R01 R02 R03 R11; Baseline §2, §5</x:v>
      </x:c>
    </x:row>
    <x:row r="26" ht="72" customHeight="1">
      <x:c r="A26" s="27" t="str">
        <x:v>F019</x:v>
      </x:c>
      <x:c r="B26" s="27" t="str">
        <x:v>SG3</x:v>
      </x:c>
      <x:c r="C26" s="27" t="n">
        <x:v>21</x:v>
      </x:c>
      <x:c r="D26" s="27" t="str">
        <x:v>Media and unsupported-message fallback</x:v>
      </x:c>
      <x:c r="E26" s="27" t="str">
        <x:v>Patient; coordinator</x:v>
      </x:c>
      <x:c r="F26" s="27" t="str">
        <x:v>Play authorized original voice notes and view permitted photo/report files. Explain upload failure or unsupported type and offer a callback/assisted route.</x:v>
      </x:c>
      <x:c r="G26" s="27" t="str">
        <x:v>Private file ID; MIME/type; size; source/provider ID; subject authorization; receipt status; failure reason; callback task.</x:v>
      </x:c>
      <x:c r="H26" s="27" t="str">
        <x:v>Limits are explicit and provider-compatible. No public patient-media URLs. Failed upload must not look received. Verify access on every download.</x:v>
      </x:c>
      <x:c r="I26" s="27" t="str">
        <x:v>Small files and clear progress/error status on weak networks; original audio does not require speech recognition.</x:v>
      </x:c>
      <x:c r="J26" s="27" t="str">
        <x:v>Oversized/unsupported media yields understandable fallback; unauthorized download and expired link fail.</x:v>
      </x:c>
      <x:c r="K26" s="27" t="str">
        <x:v>M018 M020 M021</x:v>
      </x:c>
      <x:c r="L26" s="27" t="str">
        <x:v>AT13 AT32</x:v>
      </x:c>
      <x:c r="M26" s="27" t="str">
        <x:v>Developer</x:v>
      </x:c>
      <x:c r="N26" s="27" t="str">
        <x:v>Tech lead sets supported types, sizes and retention with facility review.</x:v>
      </x:c>
      <x:c r="O26" s="27" t="str">
        <x:v>R01 R07 R08; Baseline §5, §8</x:v>
      </x:c>
    </x:row>
    <x:row r="27" ht="72" customHeight="1">
      <x:c r="A27" s="26" t="str">
        <x:v>F020</x:v>
      </x:c>
      <x:c r="B27" s="26" t="str">
        <x:v>SG3</x:v>
      </x:c>
      <x:c r="C27" s="26" t="n">
        <x:v>21</x:v>
      </x:c>
      <x:c r="D27" s="26" t="str">
        <x:v>Reviewed audio and language access</x:v>
      </x:c>
      <x:c r="E27" s="26" t="str">
        <x:v>Patient; family; staff</x:v>
      </x:c>
      <x:c r="F27" s="26" t="str">
        <x:v>Play short approved education audio with matching text through patient pages and a permitted WhatsApp route. Offer English and the selected pilot language.</x:v>
      </x:c>
      <x:c r="G27" s="26" t="str">
        <x:v>Topic; stage/plan match; text/audio version; language; source; approver; review date; file size.</x:v>
      </x:c>
      <x:c r="H27" s="26" t="str">
        <x:v>Use reviewed human narration. No dialect recognition or conversational voice agent. Only approved clinical wording may be distributed.</x:v>
      </x:c>
      <x:c r="I27" s="26" t="str">
        <x:v>Large play/pause controls, small files, plain text/picture support and printed next steps.</x:v>
      </x:c>
      <x:c r="J27" s="26" t="str">
        <x:v>Play approved audio on web and real WhatsApp route; language/text agree; fallback usable on a low-end device.</x:v>
      </x:c>
      <x:c r="K27" s="26" t="str">
        <x:v>M021 M023 M038</x:v>
      </x:c>
      <x:c r="L27" s="26" t="str">
        <x:v>AT14 AT21 AT24</x:v>
      </x:c>
      <x:c r="M27" s="26" t="str">
        <x:v>Developer</x:v>
      </x:c>
      <x:c r="N27" s="26" t="str">
        <x:v>D08; language-capable reviewer and clinical reviewer approve versions.</x:v>
      </x:c>
      <x:c r="O27" s="26" t="str">
        <x:v>R01 R06; Baseline §2, §5</x:v>
      </x:c>
    </x:row>
    <x:row r="28" ht="72" customHeight="1">
      <x:c r="A28" s="27" t="str">
        <x:v>F021</x:v>
      </x:c>
      <x:c r="B28" s="27" t="str">
        <x:v>SG4</x:v>
      </x:c>
      <x:c r="C28" s="27" t="n">
        <x:v>28</x:v>
      </x:c>
      <x:c r="D28" s="27" t="str">
        <x:v>Labour arrival, birth and twins</x:v>
      </x:c>
      <x:c r="E28" s="27" t="str">
        <x:v>Nurse; coordinator; doctor</x:v>
      </x:c>
      <x:c r="F28" s="27" t="str">
        <x:v>Locate the correct episode, record arrival or transfer after care permits, record confirmed birth outcome and create a separate record/plan for each liveborn child.</x:v>
      </x:c>
      <x:c r="G28" s="27" t="str">
        <x:v>Episode; arrival/event date and precision; source; confirmed outcome; distinct child IDs; actual birth date/time if known; facility summary.</x:v>
      </x:c>
      <x:c r="H28" s="27" t="str">
        <x:v>No labour triage, contraction advice, resuscitation or live monitoring. Unknown facts stay unknown. Each child has independent outcome and follow-up.</x:v>
      </x:c>
      <x:c r="I28" s="27" t="str">
        <x:v>No QR scan required to find the record. Manual facility summary and handover are sufficient.</x:v>
      </x:c>
      <x:c r="J28" s="27" t="str">
        <x:v>Create twins and update one child; sibling and maternal history remain correct.</x:v>
      </x:c>
      <x:c r="K28" s="27" t="str">
        <x:v>M025 M027 M031 M032</x:v>
      </x:c>
      <x:c r="L28" s="27" t="str">
        <x:v>AT15</x:v>
      </x:c>
      <x:c r="M28" s="27" t="str">
        <x:v>Developer</x:v>
      </x:c>
      <x:c r="N28" s="27" t="str">
        <x:v>Doctor and pediatric reviewer approve birth/outcome workflow.</x:v>
      </x:c>
      <x:c r="O28" s="27" t="str">
        <x:v>Stage 4; R02 R04; Baseline §3–4</x:v>
      </x:c>
    </x:row>
    <x:row r="29" ht="72" customHeight="1">
      <x:c r="A29" s="26" t="str">
        <x:v>F022</x:v>
      </x:c>
      <x:c r="B29" s="26" t="str">
        <x:v>SG4</x:v>
      </x:c>
      <x:c r="C29" s="26" t="n">
        <x:v>28</x:v>
      </x:c>
      <x:c r="D29" s="26" t="str">
        <x:v>Child entry with incomplete history</x:v>
      </x:c>
      <x:c r="E29" s="26" t="str">
        <x:v>Coordinator; guardian; pediatric reviewer</x:v>
      </x:c>
      <x:c r="F29" s="26" t="str">
        <x:v>Create an existing child record even if pregnancy/parental details are incomplete. Verify guardian authority before access and link known relationships explicitly.</x:v>
      </x:c>
      <x:c r="G29" s="26" t="str">
        <x:v>Child person ID; available birth date/precision; source; optional episode; verified relationships/guardian authority; owning facility.</x:v>
      </x:c>
      <x:c r="H29" s="26" t="str">
        <x:v>No invented pregnancy, dates or parent identity. Unknown history is allowed; access still requires verified authority. Twins are separate people.</x:v>
      </x:c>
      <x:c r="I29" s="26" t="str">
        <x:v>Assisted entry with available community or paper records; absence of digital identifiers is not a care barrier.</x:v>
      </x:c>
      <x:c r="J29" s="26" t="str">
        <x:v>Register a child without an episode; unverified guardian sees no private record; later authorized linking preserves history.</x:v>
      </x:c>
      <x:c r="K29" s="26" t="str">
        <x:v>M025 M027 M032 M037</x:v>
      </x:c>
      <x:c r="L29" s="26" t="str">
        <x:v>AT29 AT02</x:v>
      </x:c>
      <x:c r="M29" s="26" t="str">
        <x:v>Developer</x:v>
      </x:c>
      <x:c r="N29" s="26" t="str">
        <x:v>Pediatric reviewer validates history/guardian workflow; D07 access design.</x:v>
      </x:c>
      <x:c r="O29" s="26" t="str">
        <x:v>Stage 8; R02 R04; Baseline §4, §7</x:v>
      </x:c>
    </x:row>
    <x:row r="30" ht="72" customHeight="1">
      <x:c r="A30" s="27" t="str">
        <x:v>F023</x:v>
      </x:c>
      <x:c r="B30" s="27" t="str">
        <x:v>SG4</x:v>
      </x:c>
      <x:c r="C30" s="27" t="n">
        <x:v>28</x:v>
      </x:c>
      <x:c r="D30" s="27" t="str">
        <x:v>Independent maternal/child discharge</x:v>
      </x:c>
      <x:c r="E30" s="27" t="str">
        <x:v>Doctor; nurse; coordinator; family</x:v>
      </x:c>
      <x:c r="F30" s="27" t="str">
        <x:v>Record clinician discharge decision for mother and each child separately. Attach approved instructions, existing prescriptions, teaching acknowledgement, contacts and individual follow-up.</x:v>
      </x:c>
      <x:c r="G30" s="27" t="str">
        <x:v>Subject; clinical approver; actual discharge date; instructions/version; summary; follow-up; outstanding results; responsible clinician.</x:v>
      </x:c>
      <x:c r="H30" s="27" t="str">
        <x:v>Administrative checklist never decides clinical readiness. No feeding/diaper metric unlocks discharge. Mother and twins may have different dates/facilities.</x:v>
      </x:c>
      <x:c r="I30" s="27" t="str">
        <x:v>Print and reviewed audio for home care; practical follow-up is assigned only to available authorized staff.</x:v>
      </x:c>
      <x:c r="J30" s="27" t="str">
        <x:v>Three different discharge dates for mother/twins; each retains correct instructions and next contact.</x:v>
      </x:c>
      <x:c r="K30" s="27" t="str">
        <x:v>M027 M029 M031 M032</x:v>
      </x:c>
      <x:c r="L30" s="27" t="str">
        <x:v>AT16</x:v>
      </x:c>
      <x:c r="M30" s="27" t="str">
        <x:v>Developer</x:v>
      </x:c>
      <x:c r="N30" s="27" t="str">
        <x:v>Doctor approves maternal decision; pediatric reviewer approves newborn workflow.</x:v>
      </x:c>
      <x:c r="O30" s="27" t="str">
        <x:v>Stage 5; R04 R05; Baseline §4</x:v>
      </x:c>
    </x:row>
    <x:row r="31" ht="72" customHeight="1">
      <x:c r="A31" s="26" t="str">
        <x:v>F024</x:v>
      </x:c>
      <x:c r="B31" s="26" t="str">
        <x:v>SG4</x:v>
      </x:c>
      <x:c r="C31" s="26" t="n">
        <x:v>28</x:v>
      </x:c>
      <x:c r="D31" s="26" t="str">
        <x:v>Postpartum and newborn follow-up</x:v>
      </x:c>
      <x:c r="E31" s="26" t="str">
        <x:v>Mother; family; ASHA; nurse; clinician</x:v>
      </x:c>
      <x:c r="F31" s="26" t="str">
        <x:v>Maintain separate maternal and newborn plans, scheduled home/clinic contacts and missed-contact follow-up. Record concerns and arrange available feeding/recovery support through usual care.</x:v>
      </x:c>
      <x:c r="G31" s="26" t="str">
        <x:v>Subject plan; approved contact date/type; accepted worker; completion/source; concern; next task; referral.</x:v>
      </x:c>
      <x:c r="H31" s="26" t="str">
        <x:v>No universal home-visit timetable or assumed equipment. No app-generated infection, jaundice, dehydration or mood score. Maternal unresolved needs continue beyond six weeks.</x:v>
      </x:c>
      <x:c r="I31" s="26" t="str">
        <x:v>Allow clinic/phone/assisted contact based on real service availability; unavailable worker needs backup.</x:v>
      </x:c>
      <x:c r="J31" s="26" t="str">
        <x:v>Miss a maternal contact while child contact completes; show independent follow-up and reassignment.</x:v>
      </x:c>
      <x:c r="K31" s="26" t="str">
        <x:v>M029 M031 M044</x:v>
      </x:c>
      <x:c r="L31" s="26" t="str">
        <x:v>AT07 AT16 AT23 AT31</x:v>
      </x:c>
      <x:c r="M31" s="26" t="str">
        <x:v>Developer</x:v>
      </x:c>
      <x:c r="N31" s="26" t="str">
        <x:v>Doctor/pediatric reviewer approves local PNC plans and role limits.</x:v>
      </x:c>
      <x:c r="O31" s="26" t="str">
        <x:v>Stage 6; R03–R06; Baseline §4</x:v>
      </x:c>
    </x:row>
    <x:row r="32" ht="72" customHeight="1">
      <x:c r="A32" s="27" t="str">
        <x:v>F025</x:v>
      </x:c>
      <x:c r="B32" s="27" t="str">
        <x:v>SG4</x:v>
      </x:c>
      <x:c r="C32" s="27" t="n">
        <x:v>28</x:v>
      </x:c>
      <x:c r="D32" s="27" t="str">
        <x:v>Private wellbeing and safety concerns</x:v>
      </x:c>
      <x:c r="E32" s="27" t="str">
        <x:v>Patient; authorized coordinator; clinician</x:v>
      </x:c>
      <x:c r="F32" s="27" t="str">
        <x:v>Provide a private concern/callback path for recovery, feeding, wellbeing, adolescent or safeguarding needs. Route only to authorized staff and record contact preferences.</x:v>
      </x:c>
      <x:c r="G32" s="27" t="str">
        <x:v>Concern category/text or original voice; restricted subject; safe contact preference; assigned owner; referral/outcome.</x:v>
      </x:c>
      <x:c r="H32" s="27" t="str">
        <x:v>No automatic caregiver disclosure or symptom interpretation. Do not promise continuous monitoring. Use approved direct urgent route outside staffed response.</x:v>
      </x:c>
      <x:c r="I32" s="27" t="str">
        <x:v>Shared handset notification reveals minimal detail. Offer a safe telephone or in-person route where digital privacy is limited.</x:v>
      </x:c>
      <x:c r="J32" s="27" t="str">
        <x:v>Caregiver cannot access a private concern; authorized staff receives it with owner and appropriate contact route.</x:v>
      </x:c>
      <x:c r="K32" s="27" t="str">
        <x:v>M029 M031 M043 M044</x:v>
      </x:c>
      <x:c r="L32" s="27" t="str">
        <x:v>AT28 AT22 AT27 AT31</x:v>
      </x:c>
      <x:c r="M32" s="27" t="str">
        <x:v>Developer</x:v>
      </x:c>
      <x:c r="N32" s="27" t="str">
        <x:v>Doctor/facility approves confidential routing and after-hours instructions.</x:v>
      </x:c>
      <x:c r="O32" s="27" t="str">
        <x:v>Stage 6; R02 R07 R11; Baseline §2, §4</x:v>
      </x:c>
    </x:row>
    <x:row r="33" ht="72" customHeight="1">
      <x:c r="A33" s="26" t="str">
        <x:v>F026</x:v>
      </x:c>
      <x:c r="B33" s="26" t="str">
        <x:v>SG4</x:v>
      </x:c>
      <x:c r="C33" s="26" t="n">
        <x:v>28</x:v>
      </x:c>
      <x:c r="D33" s="26" t="str">
        <x:v>Reported loss and immediate message pause</x:v>
      </x:c>
      <x:c r="E33" s="26" t="str">
        <x:v>Authorized staff; doctor; pediatric reviewer</x:v>
      </x:c>
      <x:c r="F33" s="26" t="str">
        <x:v>On reported loss, pause incompatible pending messages immediately; clinician later records confirmed outcome/source and appropriate follow-up. Preserve maternal support and unaffected sibling care.</x:v>
      </x:c>
      <x:c r="G33" s="26" t="str">
        <x:v>Reported/confirmed outcome; subject/episode; report source/time; pause scope/reason; confirming clinician; retained follow-up.</x:v>
      </x:c>
      <x:c r="H33" s="26" t="str">
        <x:v>Include miscarriage, termination, stillbirth and neonatal death sensitively. Final send rechecks pause. Already accepted provider messages may not be retractable; disclose in-flight limitation.</x:v>
      </x:c>
      <x:c r="I33" s="26" t="str">
        <x:v>Human-assisted report is enough to initiate protective pause. Do not require a completed clinical record before pausing.</x:v>
      </x:c>
      <x:c r="J33" s="26" t="str">
        <x:v>Pause queued routine/celebratory messages; confirm one twin outcome; other child and appropriate maternal tasks continue.</x:v>
      </x:c>
      <x:c r="K33" s="26" t="str">
        <x:v>M026 M028 M031 M032</x:v>
      </x:c>
      <x:c r="L33" s="26" t="str">
        <x:v>AT17 AT12</x:v>
      </x:c>
      <x:c r="M33" s="26" t="str">
        <x:v>Developer</x:v>
      </x:c>
      <x:c r="N33" s="26" t="str">
        <x:v>Doctor confirms outcomes and approved communication after loss.</x:v>
      </x:c>
      <x:c r="O33" s="26" t="str">
        <x:v>R04; Baseline §4, §8</x:v>
      </x:c>
    </x:row>
    <x:row r="34" ht="72" customHeight="1">
      <x:c r="A34" s="27" t="str">
        <x:v>F027</x:v>
      </x:c>
      <x:c r="B34" s="27" t="str">
        <x:v>SG4</x:v>
      </x:c>
      <x:c r="C34" s="27" t="n">
        <x:v>28</x:v>
      </x:c>
      <x:c r="D34" s="27" t="str">
        <x:v>Transfer and receiving handover</x:v>
      </x:c>
      <x:c r="E34" s="27" t="str">
        <x:v>Coordinator; sending/receiving clinicians; family</x:v>
      </x:c>
      <x:c r="F34" s="27" t="str">
        <x:v>Record movement to another facility/district or parental home. Share only authorized records, identify receiving owner, record acceptance and carry unresolved tasks forward.</x:v>
      </x:c>
      <x:c r="G34" s="27" t="str">
        <x:v>Sending/receiving facility; sharing authority/scope; contact; receiving owner; acceptance; pending tasks; actual transfer date/source.</x:v>
      </x:c>
      <x:c r="H34" s="27" t="str">
        <x:v>Changing facility does not close tasks or grant blanket cross-organization access. Mother and child can transfer separately. Pending acceptance stays visible.</x:v>
      </x:c>
      <x:c r="I34" s="27" t="str">
        <x:v>Manual phone confirmation and agreed record handover; no receiving-system integration assumed.</x:v>
      </x:c>
      <x:c r="J34" s="27" t="str">
        <x:v>Transfer with open results/referral tasks; receiving owner accepts; historical source/date and access remain correct.</x:v>
      </x:c>
      <x:c r="K34" s="27" t="str">
        <x:v>M026 M028 M031 M032</x:v>
      </x:c>
      <x:c r="L34" s="27" t="str">
        <x:v>AT18 AT02</x:v>
      </x:c>
      <x:c r="M34" s="27" t="str">
        <x:v>Developer</x:v>
      </x:c>
      <x:c r="N34" s="27" t="str">
        <x:v>Facility confirms sharing/acceptance procedure; doctor approves clinical handover.</x:v>
      </x:c>
      <x:c r="O34" s="27" t="str">
        <x:v>R04; Stages 4–6; Baseline §4, §7</x:v>
      </x:c>
    </x:row>
    <x:row r="35" ht="72" customHeight="1">
      <x:c r="A35" s="26" t="str">
        <x:v>F028</x:v>
      </x:c>
      <x:c r="B35" s="26" t="str">
        <x:v>SG4</x:v>
      </x:c>
      <x:c r="C35" s="26" t="n">
        <x:v>28</x:v>
      </x:c>
      <x:c r="D35" s="26" t="str">
        <x:v>Readmission and neonatal special care</x:v>
      </x:c>
      <x:c r="E35" s="26" t="str">
        <x:v>Doctor; pediatric team; coordinator</x:v>
      </x:c>
      <x:c r="F35" s="26" t="str">
        <x:v>Record clinician-supplied special-care/readmission event, attach available summary and update individual follow-up/receiving responsibility.</x:v>
      </x:c>
      <x:c r="G35" s="26" t="str">
        <x:v>Subject; event date/source; care facility; supplied instructions; outstanding work; clinician; revised plan version.</x:v>
      </x:c>
      <x:c r="H35" s="26" t="str">
        <x:v>Preserve prior birth/discharge history. No software inference of need for admission or special care. Do not replace sibling plans.</x:v>
      </x:c>
      <x:c r="I35" s="26" t="str">
        <x:v>Document services actually available; arrange existing clinical support manually.</x:v>
      </x:c>
      <x:c r="J35" s="26" t="str">
        <x:v>Readmit one child after discharge; earlier events remain and only affected future tasks change.</x:v>
      </x:c>
      <x:c r="K35" s="26" t="str">
        <x:v>M028 M029 M031 M032</x:v>
      </x:c>
      <x:c r="L35" s="26" t="str">
        <x:v>AT18 AT16</x:v>
      </x:c>
      <x:c r="M35" s="26" t="str">
        <x:v>Developer</x:v>
      </x:c>
      <x:c r="N35" s="26" t="str">
        <x:v>Maternal/pediatric reviewer approves relevant instructions.</x:v>
      </x:c>
      <x:c r="O35" s="26" t="str">
        <x:v>Stages 5–6; R04; Baseline §4</x:v>
      </x:c>
    </x:row>
    <x:row r="36" ht="72" customHeight="1">
      <x:c r="A36" s="27" t="str">
        <x:v>F029</x:v>
      </x:c>
      <x:c r="B36" s="27" t="str">
        <x:v>SG5</x:v>
      </x:c>
      <x:c r="C36" s="27" t="n">
        <x:v>42</x:v>
      </x:c>
      <x:c r="D36" s="27" t="str">
        <x:v>Vaccination plan and evidence</x:v>
      </x:c>
      <x:c r="E36" s="27" t="str">
        <x:v>Parent/guardian; vaccinator; pediatric reviewer</x:v>
      </x:c>
      <x:c r="F36" s="27" t="str">
        <x:v>Show clinician/vaccinator-approved planned dates. Record outside/reported doses, verify evidence and record administered doses. Update reminders after approved plan correction.</x:v>
      </x:c>
      <x:c r="G36" s="27" t="str">
        <x:v>Child; vaccine/dose; planned and actual dates; provider; source/evidence; verification status/actor; plan version.</x:v>
      </x:c>
      <x:c r="H36" s="27" t="str">
        <x:v>Planned, reported, verified administered and unknown are distinct. Do not calculate catch-up advice or let parent choose UIP/IAP clinical standard. Prevent duplicate dose/reminder effects.</x:v>
      </x:c>
      <x:c r="I36" s="27" t="str">
        <x:v>Confirm community-session dates manually; accept MCP/official evidence. Export is a care record, not an official vaccine certificate.</x:v>
      </x:c>
      <x:c r="J36" s="27" t="str">
        <x:v>Verify an outside dose; correct plan without duplicate record/reminder; unknown dose remains unknown.</x:v>
      </x:c>
      <x:c r="K36" s="27" t="str">
        <x:v>M033 M035 M039 M040</x:v>
      </x:c>
      <x:c r="L36" s="27" t="str">
        <x:v>AT19</x:v>
      </x:c>
      <x:c r="M36" s="27" t="str">
        <x:v>Developer</x:v>
      </x:c>
      <x:c r="N36" s="27" t="str">
        <x:v>Pediatric reviewer/vaccinator approves schedule and record fields.</x:v>
      </x:c>
      <x:c r="O36" s="27" t="str">
        <x:v>Stage 7–8; R03 R05; Baseline §4</x:v>
      </x:c>
    </x:row>
    <x:row r="37" ht="72" customHeight="1">
      <x:c r="A37" s="26" t="str">
        <x:v>F030</x:v>
      </x:c>
      <x:c r="B37" s="26" t="str">
        <x:v>SG5</x:v>
      </x:c>
      <x:c r="C37" s="26" t="n">
        <x:v>42</x:v>
      </x:c>
      <x:c r="D37" s="26" t="str">
        <x:v>Child measurements and community records</x:v>
      </x:c>
      <x:c r="E37" s="26" t="str">
        <x:v>Authorized worker; nurse; pediatric reviewer</x:v>
      </x:c>
      <x:c r="F37" s="26" t="str">
        <x:v>Record dated measurements, outside Anganwadi/community care and source evidence. Display factual history with open review appointments and referrals.</x:v>
      </x:c>
      <x:c r="G37" s="26" t="str">
        <x:v>Child; observation/value/unit; actual service date; entry date; source; verification; attached evidence; review task.</x:v>
      </x:c>
      <x:c r="H37" s="26" t="str">
        <x:v>No growth chart interpretation, malnutrition/developmental classification or automated screening. No government sync. Correction preserves original evidence/history.</x:v>
      </x:c>
      <x:c r="I37" s="26" t="str">
        <x:v>Manual source-dated entry with available records/equipment; missing measurements remain unknown.</x:v>
      </x:c>
      <x:c r="J37" s="26" t="str">
        <x:v>Outside service keeps actual date and source; raw measurements produce no classification.</x:v>
      </x:c>
      <x:c r="K37" s="26" t="str">
        <x:v>M035 M039 M040</x:v>
      </x:c>
      <x:c r="L37" s="26" t="str">
        <x:v>AT19 AT31</x:v>
      </x:c>
      <x:c r="M37" s="26" t="str">
        <x:v>Developer</x:v>
      </x:c>
      <x:c r="N37" s="26" t="str">
        <x:v>Pediatric reviewer approves units, fields and review process.</x:v>
      </x:c>
      <x:c r="O37" s="26" t="str">
        <x:v>Stages 7–8; R03 R05; Baseline §4, §7</x:v>
      </x:c>
    </x:row>
    <x:row r="38" ht="72" customHeight="1">
      <x:c r="A38" s="27" t="str">
        <x:v>F031</x:v>
      </x:c>
      <x:c r="B38" s="27" t="str">
        <x:v>SG5</x:v>
      </x:c>
      <x:c r="C38" s="27" t="n">
        <x:v>42</x:v>
      </x:c>
      <x:c r="D38" s="27" t="str">
        <x:v>Infancy and early-childhood continuity</x:v>
      </x:c>
      <x:c r="E38" s="27" t="str">
        <x:v>Parent/guardian; coordinator; pediatric team</x:v>
      </x:c>
      <x:c r="F38" s="27" t="str">
        <x:v>Provide child-specific next actions, review requests, approved food/hygiene/oral-care/safety/play guidance and tracked referrals from infancy through age five.</x:v>
      </x:c>
      <x:c r="G38" s="27" t="str">
        <x:v>Child stage/date precision; approved review plan; concern; appointment; referral; source-dated community record; education version.</x:v>
      </x:c>
      <x:c r="H38" s="27" t="str">
        <x:v>Review frequency comes from clinicians/programmes. Maternal episode closure does not end child work. Do not require annual-only visits or infer development from logs.</x:v>
      </x:c>
      <x:c r="I38" s="27" t="str">
        <x:v>Same care features through WhatsApp/assisted and web channels based on capability. Local community sessions confirmed manually.</x:v>
      </x:c>
      <x:c r="J38" s="27" t="str">
        <x:v>Close maternal episode and continue child appointments, guidance and referral follow-up.</x:v>
      </x:c>
      <x:c r="K38" s="27" t="str">
        <x:v>M035 M039 M040</x:v>
      </x:c>
      <x:c r="L38" s="27" t="str">
        <x:v>AT19 AT29 AT31</x:v>
      </x:c>
      <x:c r="M38" s="27" t="str">
        <x:v>Developer</x:v>
      </x:c>
      <x:c r="N38" s="27" t="str">
        <x:v>Pediatric reviewer approves stage guidance and local intervals.</x:v>
      </x:c>
      <x:c r="O38" s="27" t="str">
        <x:v>Stages 7–8; R02 R03 R05; Baseline §4</x:v>
      </x:c>
    </x:row>
    <x:row r="39" ht="72" customHeight="1">
      <x:c r="A39" s="26" t="str">
        <x:v>F032</x:v>
      </x:c>
      <x:c r="B39" s="26" t="str">
        <x:v>SG5</x:v>
      </x:c>
      <x:c r="C39" s="26" t="n">
        <x:v>42</x:v>
      </x:c>
      <x:c r="D39" s="26" t="str">
        <x:v>Guardian permissions lifecycle</x:v>
      </x:c>
      <x:c r="E39" s="26" t="str">
        <x:v>Verified guardian; authorized staff</x:v>
      </x:c>
      <x:c r="F39" s="26" t="str">
        <x:v>Verify legal/authorized relationship under the agreed process, grant scoped child access, update guardianship changes and revoke affected access.</x:v>
      </x:c>
      <x:c r="G39" s="26" t="str">
        <x:v>Child; guardian person; authority evidence/status; verifier/date; permitted scope; grant/revocation; reason.</x:v>
      </x:c>
      <x:c r="H39" s="26" t="str">
        <x:v>Relationship assertion or shared phone alone grants no access. Check authorization before every record/media request. Existing basic verification starts at SG4 child entry.</x:v>
      </x:c>
      <x:c r="I39" s="26" t="str">
        <x:v>Offer staff-assisted verification using locally acceptable evidence and a documented exception path.</x:v>
      </x:c>
      <x:c r="J39" s="26" t="str">
        <x:v>Wrong/unverified guardian denied; changed or revoked grant cannot retrieve child record/download.</x:v>
      </x:c>
      <x:c r="K39" s="26" t="str">
        <x:v>M034 M037 M040</x:v>
      </x:c>
      <x:c r="L39" s="26" t="str">
        <x:v>AT29 AT28 AT22</x:v>
      </x:c>
      <x:c r="M39" s="26" t="str">
        <x:v>Developer</x:v>
      </x:c>
      <x:c r="N39" s="26" t="str">
        <x:v>D07 plus facility/pediatric approval of verification process.</x:v>
      </x:c>
      <x:c r="O39" s="26" t="str">
        <x:v>R02 R07; Baseline §2, §4</x:v>
      </x:c>
    </x:row>
    <x:row r="40" ht="72" customHeight="1">
      <x:c r="A40" s="27" t="str">
        <x:v>F033</x:v>
      </x:c>
      <x:c r="B40" s="27" t="str">
        <x:v>SG5</x:v>
      </x:c>
      <x:c r="C40" s="27" t="n">
        <x:v>42</x:v>
      </x:c>
      <x:c r="D40" s="27" t="str">
        <x:v>Limited offline field visit drafts</x:v>
      </x:c>
      <x:c r="E40" s="27" t="str">
        <x:v>Assigned field worker</x:v>
      </x:c>
      <x:c r="F40" s="27" t="str">
        <x:v>On an approved device, save a permitted visit draft for an assigned caseload, show sync state, retry when online and resolve conflicts through an authorized person.</x:v>
      </x:c>
      <x:c r="G40" s="27" t="str">
        <x:v>Operation ID; authorized subject; record version; draft fields; event date; local timestamp; sync state/error; last sync.</x:v>
      </x:c>
      <x:c r="H40" s="27" t="str">
        <x:v>Drafts only, not a replicated medical record. Clinical-plan/discharge changes require online authorization. Retry creates one record; stale draft cannot overwrite newer plan.</x:v>
      </x:c>
      <x:c r="I40" s="27" t="str">
        <x:v>Visible pending/failed/synced states on low-end phones. Paper/call fallback; protect/clear local data under agreed logout policy.</x:v>
      </x:c>
      <x:c r="J40" s="27" t="str">
        <x:v>Disconnect, draft, change plan online, retry twice and log out; one visit saved and conflict stays visible.</x:v>
      </x:c>
      <x:c r="K40" s="27" t="str">
        <x:v>M033 M036 M040</x:v>
      </x:c>
      <x:c r="L40" s="27" t="str">
        <x:v>AT20 AT24</x:v>
      </x:c>
      <x:c r="M40" s="27" t="str">
        <x:v>Developer</x:v>
      </x:c>
      <x:c r="N40" s="27" t="str">
        <x:v>Tech lead approves allowed local fields/device and cleanup policy.</x:v>
      </x:c>
      <x:c r="O40" s="27" t="str">
        <x:v>R08; Baseline §5</x:v>
      </x:c>
    </x:row>
    <x:row r="41" ht="72" customHeight="1">
      <x:c r="A41" s="26" t="str">
        <x:v>F034</x:v>
      </x:c>
      <x:c r="B41" s="26" t="str">
        <x:v>SG5</x:v>
      </x:c>
      <x:c r="C41" s="26" t="n">
        <x:v>42</x:v>
      </x:c>
      <x:c r="D41" s="26" t="str">
        <x:v>Content publishing and withdrawal</x:v>
      </x:c>
      <x:c r="E41" s="26" t="str">
        <x:v>Content editor; language reviewer; doctor; pediatric reviewer</x:v>
      </x:c>
      <x:c r="F41" s="26" t="str">
        <x:v>Prepare text/audio version, record source and language review, obtain clinical approval, publish approved version and withdraw recalled material with reason.</x:v>
      </x:c>
      <x:c r="G41" s="26" t="str">
        <x:v>Topic; stage; language; text/audio version; source; approver; review date; publish/withdraw status/time; expiry.</x:v>
      </x:c>
      <x:c r="H41" s="26" t="str">
        <x:v>Initial approved playback starts at SG3. Only approved matching versions distribute. Withdrawal stops new sends and invalidates links; public cache expiry limits are documented.</x:v>
      </x:c>
      <x:c r="I41" s="26" t="str">
        <x:v>Small public audio has text equivalent and contains no patient records. Reviewer checks understandable pilot-language narration.</x:v>
      </x:c>
      <x:c r="J41" s="26" t="str">
        <x:v>Reject unapproved publish; publish approved version; withdraw and test old link, queued sends and cache behavior.</x:v>
      </x:c>
      <x:c r="K41" s="26" t="str">
        <x:v>M034 M037 M038 M039 M047</x:v>
      </x:c>
      <x:c r="L41" s="26" t="str">
        <x:v>AT21 AT14</x:v>
      </x:c>
      <x:c r="M41" s="26" t="str">
        <x:v>Developer</x:v>
      </x:c>
      <x:c r="N41" s="26" t="str">
        <x:v>Maternal/pediatric and language approvals required for their actual versions.</x:v>
      </x:c>
      <x:c r="O41" s="26" t="str">
        <x:v>R06; Baseline §5</x:v>
      </x:c>
    </x:row>
    <x:row r="42" ht="72" customHeight="1">
      <x:c r="A42" s="27" t="str">
        <x:v>F035</x:v>
      </x:c>
      <x:c r="B42" s="27" t="str">
        <x:v>SG5</x:v>
      </x:c>
      <x:c r="C42" s="27" t="n">
        <x:v>42</x:v>
      </x:c>
      <x:c r="D42" s="27" t="str">
        <x:v>Twelve education packages</x:v>
      </x:c>
      <x:c r="E42" s="27" t="str">
        <x:v>Mother/family; doctor; pediatric reviewer</x:v>
      </x:c>
      <x:c r="F42" s="27" t="str">
        <x:v>Complete packages for visit/test preparation, prescribed-medicine instructions, affordable nutrition, birth planning, urgent help, maternal recovery, feeding, newborn care, wellbeing, family planning, child play and vaccines.</x:v>
      </x:c>
      <x:c r="G42" s="27" t="str">
        <x:v>For each topic: English and pilot-language text; short reviewed audio; source; version; clinician/language approver; review date.</x:v>
      </x:c>
      <x:c r="H42" s="27" t="str">
        <x:v>Match confirmed stage/plan, not inferred disease. Education cannot prescribe treatment. All twelve packages required at SG5; early stage material reviewed incrementally.</x:v>
      </x:c>
      <x:c r="I42" s="27" t="str">
        <x:v>Use affordable local examples, pictures where helpful, large audio controls and printed next steps. No blanket translation by unchecked AI.</x:v>
      </x:c>
      <x:c r="J42" s="27" t="str">
        <x:v>Inventory twelve topics in both languages; play audio and inspect source/version/approval for maternal and child examples.</x:v>
      </x:c>
      <x:c r="K42" s="27" t="str">
        <x:v>M038 M039 M045 M047</x:v>
      </x:c>
      <x:c r="L42" s="27" t="str">
        <x:v>AT21 AT14 AT24</x:v>
      </x:c>
      <x:c r="M42" s="27" t="str">
        <x:v>Team lead</x:v>
      </x:c>
      <x:c r="N42" s="27" t="str">
        <x:v>Doctor/pediatric approval; named narrator/language reviewer under D08.</x:v>
      </x:c>
      <x:c r="O42" s="27" t="str">
        <x:v>R06; Baseline §5</x:v>
      </x:c>
    </x:row>
    <x:row r="43" ht="72" customHeight="1">
      <x:c r="A43" s="26" t="str">
        <x:v>F036</x:v>
      </x:c>
      <x:c r="B43" s="26" t="str">
        <x:v>SG5</x:v>
      </x:c>
      <x:c r="C43" s="26" t="n">
        <x:v>42</x:v>
      </x:c>
      <x:c r="D43" s="26" t="str">
        <x:v>Privacy notice and rights requests</x:v>
      </x:c>
      <x:c r="E43" s="26" t="str">
        <x:v>Patient; coordinator; facility rights owner</x:v>
      </x:c>
      <x:c r="F43" s="26" t="str">
        <x:v>Provide understandable notice/channel choices. Accept correction, record export, deletion-review and grievance requests; verify requester, assign owner, record decision and response.</x:v>
      </x:c>
      <x:c r="G43" s="26" t="str">
        <x:v>Request type; subject/authority; received date; owner; progress; decision/reason; response; authorized export; audit reference.</x:v>
      </x:c>
      <x:c r="H43" s="26" t="str">
        <x:v>No automatic deletion of required clinical records. Retention/lawful processing decided for actual pilot. Export only authorized records; ordinary logs exclude sensitive payloads.</x:v>
      </x:c>
      <x:c r="I43" s="26" t="str">
        <x:v>Assisted/telephone request route for users unable to use web; private contact preferences respected.</x:v>
      </x:c>
      <x:c r="J43" s="26" t="str">
        <x:v>Submit all four request types; trace owner/outcome; guessed file URL and unauthorized export fail.</x:v>
      </x:c>
      <x:c r="K43" s="26" t="str">
        <x:v>M043 M046 M048</x:v>
      </x:c>
      <x:c r="L43" s="26" t="str">
        <x:v>AT22 AT32</x:v>
      </x:c>
      <x:c r="M43" s="26" t="str">
        <x:v>Developer</x:v>
      </x:c>
      <x:c r="N43" s="26" t="str">
        <x:v>D09; facility/privacy review defines retention and handling policy.</x:v>
      </x:c>
      <x:c r="O43" s="26" t="str">
        <x:v>R07; Baseline §5, §8</x:v>
      </x:c>
    </x:row>
    <x:row r="44" ht="72" customHeight="1">
      <x:c r="A44" s="27" t="str">
        <x:v>F037</x:v>
      </x:c>
      <x:c r="B44" s="27" t="str">
        <x:v>SG5</x:v>
      </x:c>
      <x:c r="C44" s="27" t="n">
        <x:v>42</x:v>
      </x:c>
      <x:c r="D44" s="27" t="str">
        <x:v>Audit and correction visibility</x:v>
      </x:c>
      <x:c r="E44" s="27" t="str">
        <x:v>Authorized reviewer; clinician; facility admin</x:v>
      </x:c>
      <x:c r="F44" s="27" t="str">
        <x:v>Show attributable history of plans, outcomes, clinical review, sharing, overrides and reminder changes. Corrections preserve event date and prior history.</x:v>
      </x:c>
      <x:c r="G44" s="27" t="str">
        <x:v>Actor; time; subject/entity; action; reason; prior/new version reference; actual event date; access scope.</x:v>
      </x:c>
      <x:c r="H44" s="27" t="str">
        <x:v>Audit is protected from routine editing/deletion; privileged maintenance is controlled. Do not expose all clinical data to admins through audit views.</x:v>
      </x:c>
      <x:c r="I44" s="27" t="str">
        <x:v>Authorized staff can explain who changed a plan without needing server access. Sensitive text/media stays outside general logs.</x:v>
      </x:c>
      <x:c r="J44" s="27" t="str">
        <x:v>Review a corrected date, revoked grant and paused reminder with actor/reason; unauthorized audit access denied.</x:v>
      </x:c>
      <x:c r="K44" s="27" t="str">
        <x:v>M005 M043 M048</x:v>
      </x:c>
      <x:c r="L44" s="27" t="str">
        <x:v>AT04 AT22 AT32</x:v>
      </x:c>
      <x:c r="M44" s="27" t="str">
        <x:v>Developer</x:v>
      </x:c>
      <x:c r="N44" s="27" t="str">
        <x:v>Tech lead approves access and audit integrity.</x:v>
      </x:c>
      <x:c r="O44" s="27" t="str">
        <x:v>R07; Baseline §7–8</x:v>
      </x:c>
    </x:row>
    <x:row r="45" ht="72" customHeight="1">
      <x:c r="A45" s="26" t="str">
        <x:v>F038</x:v>
      </x:c>
      <x:c r="B45" s="26" t="str">
        <x:v>SG5</x:v>
      </x:c>
      <x:c r="C45" s="26" t="n">
        <x:v>42</x:v>
      </x:c>
      <x:c r="D45" s="26" t="str">
        <x:v>Operational worklist and pause controls</x:v>
      </x:c>
      <x:c r="E45" s="26" t="str">
        <x:v>Coordinator; backup; facility/team lead</x:v>
      </x:c>
      <x:c r="F45" s="26" t="str">
        <x:v>Show overdue tasks, missed visits, unreviewed reports, open referrals, pending inbox and failed/uncertain sends. Assign/reassign work and pause affected automation with reason.</x:v>
      </x:c>
      <x:c r="G45" s="26" t="str">
        <x:v>Facility; owner/backup; due age; state; last update; provider status; failure reason; pause scope; actor/time.</x:v>
      </x:c>
      <x:c r="H45" s="26" t="str">
        <x:v>Administrative priorities only. Show visible data freshness. Resume requires authorized review of current eligibility; do not bulk-resend stale jobs.</x:v>
      </x:c>
      <x:c r="I45" s="26" t="str">
        <x:v>Bounded worklists suit busy clinics; phone follow-up remains possible during channel outage.</x:v>
      </x:c>
      <x:c r="J45" s="26" t="str">
        <x:v>Create several unresolved cases, reassign unavailable owner, pause sending and demonstrate owned failure resolution.</x:v>
      </x:c>
      <x:c r="K45" s="26" t="str">
        <x:v>M044 M046 M048</x:v>
      </x:c>
      <x:c r="L45" s="26" t="str">
        <x:v>AT23 AT30 AT27</x:v>
      </x:c>
      <x:c r="M45" s="26" t="str">
        <x:v>Developer</x:v>
      </x:c>
      <x:c r="N45" s="26" t="str">
        <x:v>Facility agrees roster and ownership; tech lead confirms pause permissions.</x:v>
      </x:c>
      <x:c r="O45" s="26" t="str">
        <x:v>R03 R10 R11; Baseline §5, §8</x:v>
      </x:c>
    </x:row>
    <x:row r="46" ht="72" customHeight="1">
      <x:c r="A46" s="27" t="str">
        <x:v>F039</x:v>
      </x:c>
      <x:c r="B46" s="27" t="str">
        <x:v>SG5</x:v>
      </x:c>
      <x:c r="C46" s="27" t="n">
        <x:v>42</x:v>
      </x:c>
      <x:c r="D46" s="27" t="str">
        <x:v>Pilot impact and cost evidence</x:v>
      </x:c>
      <x:c r="E46" s="27" t="str">
        <x:v>Team lead; facility owner</x:v>
      </x:c>
      <x:c r="F46" s="27" t="str">
        <x:v>Show defined administrative measures and capture baseline/weekly observations: missed-visit follow-up, report-review time, referral closure, message failures/cost and staff time per request.</x:v>
      </x:c>
      <x:c r="G46" s="27" t="str">
        <x:v>Metric definition; observation window; numerator/denominator; timestamp basis; baseline; cost source/currency; staff time sample.</x:v>
      </x:c>
      <x:c r="H46" s="27" t="str">
        <x:v>Missing data is unknown, not zero. No clinical outcome claim from small POC. Distinguish delivered messages from reviewed requests and closed referrals.</x:v>
      </x:c>
      <x:c r="I46" s="27" t="str">
        <x:v>Compare operational results by setting without ranking patients or assigning clinical standards by tier.</x:v>
      </x:c>
      <x:c r="J46" s="27" t="str">
        <x:v>Trace sample metrics back to source events and explain baseline/denominator and cost coverage.</x:v>
      </x:c>
      <x:c r="K46" s="27" t="str">
        <x:v>M044 M046 M053</x:v>
      </x:c>
      <x:c r="L46" s="27" t="str">
        <x:v>AT23 AT26 AT27</x:v>
      </x:c>
      <x:c r="M46" s="27" t="str">
        <x:v>Developer</x:v>
      </x:c>
      <x:c r="N46" s="27" t="str">
        <x:v>D10; team lead approves metric definitions, budget and thresholds.</x:v>
      </x:c>
      <x:c r="O46" s="27" t="str">
        <x:v>R12; Baseline §8–9</x:v>
      </x:c>
    </x:row>
    <x:row r="47" ht="72" customHeight="1">
      <x:c r="A47" s="26" t="str">
        <x:v>F040</x:v>
      </x:c>
      <x:c r="B47" s="26" t="str">
        <x:v>SG5</x:v>
      </x:c>
      <x:c r="C47" s="26" t="n">
        <x:v>42</x:v>
      </x:c>
      <x:c r="D47" s="26" t="str">
        <x:v>Assistive scope and human override</x:v>
      </x:c>
      <x:c r="E47" s="26" t="str">
        <x:v>All roles</x:v>
      </x:c>
      <x:c r="F47" s="26" t="str">
        <x:v>Run complete care journeys with AI disabled. Route clinical questions to qualified people; allow authorized correction, pause, reassignment and override with a reason/audit.</x:v>
      </x:c>
      <x:c r="G47" s="26" t="str">
        <x:v>Approved content/plan versions; human decision; override scope/reason; audit; assigned clinical route.</x:v>
      </x:c>
      <x:c r="H47" s="26" t="str">
        <x:v>No diagnosis, treatment recommendations, clinical scoring, screening or medical-data interpretation. No autonomous clinical advice, generative FAQ/transcription or growth interpretation in MVP.</x:v>
      </x:c>
      <x:c r="I47" s="26" t="str">
        <x:v>Core work must function through web/assisted care when optional AI or channel service is unavailable.</x:v>
      </x:c>
      <x:c r="J47" s="26" t="str">
        <x:v>Execute maternal and child paths with optional AI off; verify all clinical outcomes come from approved content or human entry.</x:v>
      </x:c>
      <x:c r="K47" s="26" t="str">
        <x:v>M041 M045 M047 M048</x:v>
      </x:c>
      <x:c r="L47" s="26" t="str">
        <x:v>AT31</x:v>
      </x:c>
      <x:c r="M47" s="26" t="str">
        <x:v>Developer</x:v>
      </x:c>
      <x:c r="N47" s="26" t="str">
        <x:v>Doctor/pediatric review scope; tech lead verifies dependencies.</x:v>
      </x:c>
      <x:c r="O47" s="26" t="str">
        <x:v>MVP boundary; R09 amended; Baseline §1, §9</x:v>
      </x:c>
    </x:row>
    <x:row r="48" ht="72" customHeight="1">
      <x:c r="A48" s="27" t="str">
        <x:v>F041</x:v>
      </x:c>
      <x:c r="B48" s="27" t="str">
        <x:v>SG6</x:v>
      </x:c>
      <x:c r="C48" s="27" t="n">
        <x:v>49</x:v>
      </x:c>
      <x:c r="D48" s="27" t="str">
        <x:v>Rural and semi-urban usability</x:v>
      </x:c>
      <x:c r="E48" s="27" t="str">
        <x:v>Tester; representative families; doctor</x:v>
      </x:c>
      <x:c r="F48" s="27" t="str">
        <x:v>Observe next-action, audio and help tasks with at least three participants per setting, including shared-phone and limited-literacy use. Record assistance, misunderstanding and fixes.</x:v>
      </x:c>
      <x:c r="G48" s="27" t="str">
        <x:v>Scenario/device/network; participant category without identifiers; task outcome; assistance; feedback; defect/retest.</x:v>
      </x:c>
      <x:c r="H48" s="27" t="str">
        <x:v>Proposed gate: at least 5/6 succeed with intended assistance and none has a safety-critical misunderstanding. Use synthetic records; do not claim clinical benefit.</x:v>
      </x:c>
      <x:c r="I48" s="27" t="str">
        <x:v>Test low-end phones, weak data, large text, audio controls and no-phone assisted/print route.</x:v>
      </x:c>
      <x:c r="J48" s="27" t="str">
        <x:v>Observed outcomes and retests meet agreed gate; critical misunderstanding is corrected before release.</x:v>
      </x:c>
      <x:c r="K48" s="27" t="str">
        <x:v>M051 M053 M054 M055 M030</x:v>
      </x:c>
      <x:c r="L48" s="27" t="str">
        <x:v>AT24 AT26</x:v>
      </x:c>
      <x:c r="M48" s="27" t="str">
        <x:v>Tester</x:v>
      </x:c>
      <x:c r="N48" s="27" t="str">
        <x:v>Doctor validates comprehension; team lead accepts setting coverage.</x:v>
      </x:c>
      <x:c r="O48" s="27" t="str">
        <x:v>R08 R12; Baseline §8</x:v>
      </x:c>
    </x:row>
    <x:row r="49" ht="72" customHeight="1">
      <x:c r="A49" s="26" t="str">
        <x:v>F042</x:v>
      </x:c>
      <x:c r="B49" s="26" t="str">
        <x:v>SG6</x:v>
      </x:c>
      <x:c r="C49" s="26" t="n">
        <x:v>49</x:v>
      </x:c>
      <x:c r="D49" s="26" t="str">
        <x:v>Staffed support and stop rehearsal</x:v>
      </x:c>
      <x:c r="E49" s="26" t="str">
        <x:v>Facility owner; coordinator; backup; clinical contact</x:v>
      </x:c>
      <x:c r="F49" s="26" t="str">
        <x:v>Name live support/backup, response hours and urgent escalation. Rehearse after-hours, absent staff, disclosure concern and channel outage. Stop enrolment/affected automation when needed.</x:v>
      </x:c>
      <x:c r="G49" s="26" t="str">
        <x:v>Roster; hours; response commitment; contacts/verification; escalation owner; stop/resume authority; incident record.</x:v>
      </x:c>
      <x:c r="H49" s="26" t="str">
        <x:v>Doctor advisory 2h/week is not inbox coverage. Staffing must exist before first patient. One rural and one semi-urban site, up to ten families each only if staffing supports it.</x:v>
      </x:c>
      <x:c r="I49" s="26" t="str">
        <x:v>Ordinary verified phone/in-person fallback; no promise of 24/7 app monitoring or ambulance integration.</x:v>
      </x:c>
      <x:c r="J49" s="26" t="str">
        <x:v>Backup takes an unowned request; public hours/contacts correct; authorized person can stop enrolment/sending.</x:v>
      </x:c>
      <x:c r="K49" s="26" t="str">
        <x:v>M046 M053 M054 M055</x:v>
      </x:c>
      <x:c r="L49" s="26" t="str">
        <x:v>AT27 AT23</x:v>
      </x:c>
      <x:c r="M49" s="26" t="str">
        <x:v>Team lead</x:v>
      </x:c>
      <x:c r="N49" s="26" t="str">
        <x:v>D11; facility approves actual roster and response commitments.</x:v>
      </x:c>
      <x:c r="O49" s="26" t="str">
        <x:v>R11; Baseline §2, §8–9</x:v>
      </x:c>
    </x:row>
    <x:row r="50" ht="72" customHeight="1">
      <x:c r="A50" s="27" t="str">
        <x:v>F043</x:v>
      </x:c>
      <x:c r="B50" s="27" t="str">
        <x:v>SG7</x:v>
      </x:c>
      <x:c r="C50" s="27" t="n">
        <x:v>56</x:v>
      </x:c>
      <x:c r="D50" s="27" t="str">
        <x:v>Pilot release and training</x:v>
      </x:c>
      <x:c r="E50" s="27" t="str">
        <x:v>Team lead; tech lead; doctor; pediatric reviewer; tester</x:v>
      </x:c>
      <x:c r="F50" s="27" t="str">
        <x:v>Demonstrate complete journey, train staff, package setup/support instructions and obtain separate technical, clinical and operating decisions for the candidate release.</x:v>
      </x:c>
      <x:c r="G50" s="27" t="str">
        <x:v>Candidate SHA; baseline versions; test evidence; clinical approvals; training record; support/recovery plan; defects; go/no-go.</x:v>
      </x:c>
      <x:c r="H50" s="27" t="str">
        <x:v>All required stages/shared functions and AT01–AT32 evidenced. Critical/high defects block. Deployment and patient enrolment need authorization; Day 57–60 reserve is for corrections.</x:v>
      </x:c>
      <x:c r="I50" s="27" t="str">
        <x:v>Train on real rural/semi-urban workflows, shared phones, manual fallback and loss/transfer cases.</x:v>
      </x:c>
      <x:c r="J50" s="27" t="str">
        <x:v>Fresh setup and full acceptance pass; three sign-offs identify candidate and approved pilot boundaries.</x:v>
      </x:c>
      <x:c r="K50" s="27" t="str">
        <x:v>M056 M057 M058 M059 M060 M061 M062</x:v>
      </x:c>
      <x:c r="L50" s="27" t="str">
        <x:v>AT01–AT32</x:v>
      </x:c>
      <x:c r="M50" s="27" t="str">
        <x:v>Team lead</x:v>
      </x:c>
      <x:c r="N50" s="27" t="str">
        <x:v>D12; separate clinical, technical and operating sign-offs.</x:v>
      </x:c>
      <x:c r="O50" s="27" t="str">
        <x:v>R10 R11 R12; Baseline §9; Delivery plan SG7</x:v>
      </x:c>
    </x:row>
  </x:sheetData>
  <x:pageMargins left="0.7" right="0.7" top="0.75" bottom="0.75" header="0.3" footer="0.3"/>
  <x:tableParts count="1">
    <x:tablePart xmlns:r="http://schemas.openxmlformats.org/officeDocument/2006/relationships" r:id="R0308d8b99e304959"/>
  </x:tableParts>
</x:worksheet>
</file>

<file path=xl/worksheets/sheet8.xml><?xml version="1.0" encoding="utf-8"?>
<x:worksheet xmlns:x="http://schemas.openxmlformats.org/spreadsheetml/2006/main">
  <x:sheetPr>
    <x:tabColor rgb="FF426477"/>
  </x:sheetPr>
  <x:sheetViews>
    <x:sheetView showGridLines="0" workbookViewId="0">
      <x:pane xSplit="4" ySplit="6" topLeftCell="E7" activePane="bottomRight" state="frozen"/>
    </x:sheetView>
  </x:sheetViews>
  <x:sheetFormatPr defaultRowHeight="15"/>
  <x:cols>
    <x:col min="1" max="1" width="11" hidden="0" customWidth="1"/>
    <x:col min="2" max="2" width="8" hidden="0" customWidth="1"/>
    <x:col min="3" max="3" width="8" hidden="0" customWidth="1"/>
    <x:col min="4" max="4" width="30" hidden="0" customWidth="1"/>
    <x:col min="5" max="5" width="58" hidden="0" customWidth="1"/>
    <x:col min="6" max="6" width="65" hidden="0" customWidth="1"/>
    <x:col min="7" max="7" width="65" hidden="0" customWidth="1"/>
    <x:col min="8" max="8" width="59" hidden="0" customWidth="1"/>
    <x:col min="9" max="9" width="57" hidden="0" customWidth="1"/>
    <x:col min="10" max="10" width="34" hidden="0" customWidth="1"/>
    <x:col min="11" max="11" width="28" hidden="0" customWidth="1"/>
    <x:col min="12" max="12" width="20" hidden="0" customWidth="1"/>
    <x:col min="13" max="13" width="49" hidden="0" customWidth="1"/>
    <x:col min="14" max="14" width="35" hidden="0" customWidth="1"/>
  </x:cols>
  <x:sheetData>
    <x:row r="1">
      <x:c r="A1" s="17"/>
      <x:c r="B1" s="17"/>
      <x:c r="C1" s="17"/>
      <x:c r="D1" s="17"/>
      <x:c r="E1" s="17"/>
      <x:c r="F1" s="17"/>
      <x:c r="G1" s="17"/>
      <x:c r="H1" s="17"/>
      <x:c r="I1" s="17"/>
      <x:c r="J1" s="17"/>
      <x:c r="K1" s="17"/>
      <x:c r="L1" s="17"/>
      <x:c r="M1" s="17"/>
      <x:c r="N1" s="17"/>
    </x:row>
    <x:row r="2" ht="28" customHeight="1">
      <x:c r="A2" s="18" t="str">
        <x:v>MatriSathi technical build specifications by gate</x:v>
      </x:c>
      <x:c r="B2" s="17"/>
      <x:c r="C2" s="17"/>
      <x:c r="D2" s="17"/>
      <x:c r="E2" s="17"/>
      <x:c r="F2" s="17"/>
      <x:c r="G2" s="17"/>
      <x:c r="H2" s="17"/>
      <x:c r="I2" s="17"/>
      <x:c r="J2" s="17"/>
      <x:c r="K2" s="17"/>
      <x:c r="L2" s="17"/>
      <x:c r="M2" s="17"/>
      <x:c r="N2" s="17"/>
    </x:row>
    <x:row r="3" ht="23" customHeight="1">
      <x:c r="A3" s="19" t="str">
        <x:v>Version 1.1 | Filter Gate for the required build scope. Existing task dates/hours remain unchanged. Named approvals are still required.</x:v>
      </x:c>
      <x:c r="B3" s="19"/>
      <x:c r="C3" s="19"/>
      <x:c r="D3" s="19"/>
      <x:c r="E3" s="19"/>
      <x:c r="F3" s="19"/>
      <x:c r="G3" s="19"/>
      <x:c r="H3" s="19"/>
      <x:c r="I3" s="19"/>
      <x:c r="J3" s="19"/>
      <x:c r="K3" s="19"/>
      <x:c r="L3" s="19"/>
      <x:c r="M3" s="19"/>
      <x:c r="N3" s="19"/>
    </x:row>
    <x:row r="4">
      <x:c r="A4" s="19" t="str">
        <x:v>Gate is the first delivery/verification milestone; controls continue afterward. Open mechanisms and proposed targets need a Decisions tab record.</x:v>
      </x:c>
      <x:c r="B4" s="19"/>
      <x:c r="C4" s="19"/>
      <x:c r="D4" s="19"/>
      <x:c r="E4" s="19"/>
      <x:c r="F4" s="19"/>
      <x:c r="G4" s="19"/>
      <x:c r="H4" s="19"/>
      <x:c r="I4" s="19"/>
      <x:c r="J4" s="19"/>
      <x:c r="K4" s="19"/>
      <x:c r="L4" s="19"/>
      <x:c r="M4" s="19"/>
      <x:c r="N4" s="19"/>
    </x:row>
    <x:row r="5">
      <x:c r="A5" s="19" t="str">
        <x:v>Sources: MatriSathi_Specifications_Updated.xlsx v2 + MatriSathi_Functional_Technical_Baseline.docx v1.0 (28 Sep 2026), including standalone amendments.</x:v>
      </x:c>
      <x:c r="B5" s="19"/>
      <x:c r="C5" s="19"/>
      <x:c r="D5" s="19"/>
      <x:c r="E5" s="19"/>
      <x:c r="F5" s="19"/>
      <x:c r="G5" s="19"/>
      <x:c r="H5" s="19"/>
      <x:c r="I5" s="19"/>
      <x:c r="J5" s="19"/>
      <x:c r="K5" s="19"/>
      <x:c r="L5" s="19"/>
      <x:c r="M5" s="19"/>
      <x:c r="N5" s="19"/>
    </x:row>
    <x:row r="6" ht="35" customHeight="1">
      <x:c r="A6" s="23" t="str">
        <x:v>Spec ID</x:v>
      </x:c>
      <x:c r="B6" s="23" t="str">
        <x:v>Gate</x:v>
      </x:c>
      <x:c r="C6" s="23" t="str">
        <x:v>Day</x:v>
      </x:c>
      <x:c r="D6" s="23" t="str">
        <x:v>Component / area</x:v>
      </x:c>
      <x:c r="E6" s="23" t="str">
        <x:v>Implementation requirement</x:v>
      </x:c>
      <x:c r="F6" s="23" t="str">
        <x:v>Data / interface contract</x:v>
      </x:c>
      <x:c r="G6" s="23" t="str">
        <x:v>Controls and constraints</x:v>
      </x:c>
      <x:c r="H6" s="23" t="str">
        <x:v>Failure / exception behavior</x:v>
      </x:c>
      <x:c r="I6" s="23" t="str">
        <x:v>Verification required</x:v>
      </x:c>
      <x:c r="J6" s="23" t="str">
        <x:v>Linked task IDs</x:v>
      </x:c>
      <x:c r="K6" s="23" t="str">
        <x:v>Acceptance cases</x:v>
      </x:c>
      <x:c r="L6" s="23" t="str">
        <x:v>Delivery owner</x:v>
      </x:c>
      <x:c r="M6" s="23" t="str">
        <x:v>Required decision / approval</x:v>
      </x:c>
      <x:c r="N6" s="23" t="str">
        <x:v>Source requirement</x:v>
      </x:c>
    </x:row>
    <x:row r="7" ht="72" customHeight="1">
      <x:c r="A7" s="26" t="str">
        <x:v>T001</x:v>
      </x:c>
      <x:c r="B7" s="26" t="str">
        <x:v>SG0</x:v>
      </x:c>
      <x:c r="C7" s="26" t="n">
        <x:v>2</x:v>
      </x:c>
      <x:c r="D7" s="26" t="str">
        <x:v>Architecture and repository boundary</x:v>
      </x:c>
      <x:c r="E7" s="26" t="str">
        <x:v>Adopt one standalone responsive frontend/backend path and bounded stage delivery. Essential functionality has no dependency on optional AI.</x:v>
      </x:c>
      <x:c r="F7" s="26" t="str">
        <x:v>Proposed React/Vite/TypeScript; FastAPI modular backend; PostgreSQL/Alembic; private object storage; durable worker. Confirm at SG0/SG1.</x:v>
      </x:c>
      <x:c r="G7" s="26" t="str">
        <x:v>Work only in current repository. No other-platform schema, authentication, code or brand dependency. No native app, microservice fleet or websocket requirement.</x:v>
      </x:c>
      <x:c r="H7" s="26" t="str">
        <x:v>If the persisted first slice cannot be proved by SG1, record capacity/date impact rather than silently changing scope.</x:v>
      </x:c>
      <x:c r="I7" s="26" t="str">
        <x:v>Approved architecture record and SG1 real browser persistence proof.</x:v>
      </x:c>
      <x:c r="J7" s="26" t="str">
        <x:v>M001 M002 M004 M006</x:v>
      </x:c>
      <x:c r="K7" s="26" t="str">
        <x:v>AT05 AT31</x:v>
      </x:c>
      <x:c r="L7" s="26" t="str">
        <x:v>Tech lead</x:v>
      </x:c>
      <x:c r="M7" s="26" t="str">
        <x:v>D01 D03 D04; stack is a proposed baseline until adopted.</x:v>
      </x:c>
      <x:c r="N7" s="26" t="str">
        <x:v>R09 amended; Baseline §1, §6</x:v>
      </x:c>
    </x:row>
    <x:row r="8" ht="72" customHeight="1">
      <x:c r="A8" s="27" t="str">
        <x:v>T002</x:v>
      </x:c>
      <x:c r="B8" s="27" t="str">
        <x:v>SG1</x:v>
      </x:c>
      <x:c r="C8" s="27" t="n">
        <x:v>7</x:v>
      </x:c>
      <x:c r="D8" s="27" t="str">
        <x:v>API contracts and validation</x:v>
      </x:c>
      <x:c r="E8" s="27" t="str">
        <x:v>Version APIs and agree request/response schemas before dependent frontend/backend work.</x:v>
      </x:c>
      <x:c r="F8" s="27" t="str">
        <x:v>/api/v1; OpenAPI; consistent error shapes; paging; bounded queries; operation IDs for retryable creates/uploads/effects; entity version on updates.</x:v>
      </x:c>
      <x:c r="G8" s="27" t="str">
        <x:v>Derive organization/facility from current server permissions; never trust client subject/reference IDs. Separate clinical event date from entry time.</x:v>
      </x:c>
      <x:c r="H8" s="27" t="str">
        <x:v>Reject invalid references/versions with actionable errors that do not leak inaccessible record existence.</x:v>
      </x:c>
      <x:c r="I8" s="27" t="str">
        <x:v>Contract tests cover rejected cross-scope references, pagination and correct persisted response.</x:v>
      </x:c>
      <x:c r="J8" s="27" t="str">
        <x:v>M003 M004 M005 M009</x:v>
      </x:c>
      <x:c r="K8" s="27" t="str">
        <x:v>AT02 AT03 AT05</x:v>
      </x:c>
      <x:c r="L8" s="27" t="str">
        <x:v>Tech lead</x:v>
      </x:c>
      <x:c r="M8" s="27" t="str">
        <x:v>D04; tech lead approves concrete contracts by task.</x:v>
      </x:c>
      <x:c r="N8" s="27" t="str">
        <x:v>R02 R09; Baseline §6–7</x:v>
      </x:c>
    </x:row>
    <x:row r="9" ht="72" customHeight="1">
      <x:c r="A9" s="26" t="str">
        <x:v>T003</x:v>
      </x:c>
      <x:c r="B9" s="26" t="str">
        <x:v>SG1</x:v>
      </x:c>
      <x:c r="C9" s="26" t="n">
        <x:v>7</x:v>
      </x:c>
      <x:c r="D9" s="26" t="str">
        <x:v>Core schema and invariants</x:v>
      </x:c>
      <x:c r="E9" s="26" t="str">
        <x:v>Create only first-slice tables initially; add later entities in their assigned stages using reviewed migrations.</x:v>
      </x:c>
      <x:c r="F9" s="26" t="str">
        <x:v>Organization; Facility(org); StaffUser; Membership; Session; Person; ContactMethod; PregnancyEpisode(mother, facility, dating/source, status). Stable IDs; created/updated/version.</x:v>
      </x:c>
      <x:c r="G9" s="26" t="str">
        <x:v>Validate ownership/sharing and foreign keys. Phone is not unique person identity. Use explicit unknown/precision; do not substitute zero, today or assumed normal.</x:v>
      </x:c>
      <x:c r="H9" s="26" t="str">
        <x:v>Reject inaccessible person linking. Keep corrected history and original service/source information.</x:v>
      </x:c>
      <x:c r="I9" s="26" t="str">
        <x:v>Migration from empty DB works; two people share phone; wrong-person reference fails.</x:v>
      </x:c>
      <x:c r="J9" s="26" t="str">
        <x:v>M003 M004 M005</x:v>
      </x:c>
      <x:c r="K9" s="26" t="str">
        <x:v>AT02 AT03 AT05</x:v>
      </x:c>
      <x:c r="L9" s="26" t="str">
        <x:v>Developer</x:v>
      </x:c>
      <x:c r="M9" s="26" t="str">
        <x:v>Tech lead approves Person ownership and migration invariants.</x:v>
      </x:c>
      <x:c r="N9" s="26" t="str">
        <x:v>R02 R09; Baseline §7</x:v>
      </x:c>
    </x:row>
    <x:row r="10" ht="72" customHeight="1">
      <x:c r="A10" s="27" t="str">
        <x:v>T004</x:v>
      </x:c>
      <x:c r="B10" s="27" t="str">
        <x:v>SG1</x:v>
      </x:c>
      <x:c r="C10" s="27" t="n">
        <x:v>7</x:v>
      </x:c>
      <x:c r="D10" s="27" t="str">
        <x:v>Staff authentication and sessions</x:v>
      </x:c>
      <x:c r="E10" s="27" t="str">
        <x:v>Implement staff login, refresh, logout, expiry, account disable and replay handling.</x:v>
      </x:c>
      <x:c r="F10" s="27" t="str">
        <x:v>Unique login; reviewed password hash; short access session; rotated refresh/token identifiers; expiry/revocation/lineage; current membership.</x:v>
      </x:c>
      <x:c r="G10" s="27" t="str">
        <x:v>Generic authentication errors; bounded throttling; no production seed credentials. Document browser token storage, cookie/CSRF protections as applicable.</x:v>
      </x:c>
      <x:c r="H10" s="27" t="str">
        <x:v>Logout, disabled user, revoked membership and refresh replay invalidate subsequent access; no process-local membership cache as authority.</x:v>
      </x:c>
      <x:c r="I10" s="27" t="str">
        <x:v>AT01 with real DB/session behavior plus current-membership enforcement in AT02.</x:v>
      </x:c>
      <x:c r="J10" s="27" t="str">
        <x:v>M003 M005</x:v>
      </x:c>
      <x:c r="K10" s="27" t="str">
        <x:v>AT01 AT02</x:v>
      </x:c>
      <x:c r="L10" s="27" t="str">
        <x:v>Developer</x:v>
      </x:c>
      <x:c r="M10" s="27" t="str">
        <x:v>D04 fixes mechanism, lifetimes and supported versions before build.</x:v>
      </x:c>
      <x:c r="N10" s="27" t="str">
        <x:v>R02 R07; Baseline §8</x:v>
      </x:c>
    </x:row>
    <x:row r="11" ht="72" customHeight="1">
      <x:c r="A11" s="26" t="str">
        <x:v>T005</x:v>
      </x:c>
      <x:c r="B11" s="26" t="str">
        <x:v>SG1</x:v>
      </x:c>
      <x:c r="C11" s="26" t="n">
        <x:v>7</x:v>
      </x:c>
      <x:c r="D11" s="26" t="str">
        <x:v>Authorization and database roles</x:v>
      </x:c>
      <x:c r="E11" s="26" t="str">
        <x:v>Enforce organization, facility, role and subject scope on every read/write/search/link/file/export.</x:v>
      </x:c>
      <x:c r="F11" s="26" t="str">
        <x:v>Central authorization checks plus relational constraints; separate migration-owner and restricted runtime DB credentials.</x:v>
      </x:c>
      <x:c r="G11" s="26" t="str">
        <x:v>No automatic clinical access from admin title. Enforce clinical-only actions and record grants. Denied logs survive business transaction rollback.</x:v>
      </x:c>
      <x:c r="H11" s="26" t="str">
        <x:v>Reject guessed IDs and cross-organization references without exposing record existence. Runtime cannot edit/delete audit history.</x:v>
      </x:c>
      <x:c r="I11" s="26" t="str">
        <x:v>Direct API/search/reference and DB-role tests; membership revoke uses same existing token.</x:v>
      </x:c>
      <x:c r="J11" s="26" t="str">
        <x:v>M003 M005 M010 M018 M041 M050</x:v>
      </x:c>
      <x:c r="K11" s="26" t="str">
        <x:v>AT02 AT03 AT04 AT28 AT32</x:v>
      </x:c>
      <x:c r="L11" s="26" t="str">
        <x:v>Developer</x:v>
      </x:c>
      <x:c r="M11" s="26" t="str">
        <x:v>Tech lead reviews sensitive access changes independently.</x:v>
      </x:c>
      <x:c r="N11" s="26" t="str">
        <x:v>R02 R07; Baseline §2, §7–8</x:v>
      </x:c>
    </x:row>
    <x:row r="12" ht="72" customHeight="1">
      <x:c r="A12" s="27" t="str">
        <x:v>T006</x:v>
      </x:c>
      <x:c r="B12" s="27" t="str">
        <x:v>SG1</x:v>
      </x:c>
      <x:c r="C12" s="27" t="n">
        <x:v>7</x:v>
      </x:c>
      <x:c r="D12" s="27" t="str">
        <x:v>Audit foundation and safe diagnostics</x:v>
      </x:c>
      <x:c r="E12" s="27" t="str">
        <x:v>Capture successful/denied access and important state changes with minimal attributable metadata.</x:v>
      </x:c>
      <x:c r="F12" s="27" t="str">
        <x:v>Actor; UTC system time; entity/action; scoped reference; reason; version/request ID. Clinical event time is separate.</x:v>
      </x:c>
      <x:c r="G12" s="27" t="str">
        <x:v>No patient text, voice, phone numbers, secrets or identifiers in ordinary diagnostics. Restricted audit access; routine users cannot change history.</x:v>
      </x:c>
      <x:c r="H12" s="27" t="str">
        <x:v>Audit for denied operation survives rollback. Privileged maintenance is explicitly controlled; do not claim absolute immutability.</x:v>
      </x:c>
      <x:c r="I12" s="27" t="str">
        <x:v>Exercise denial, success, runtime UPDATE/DELETE and sensitive error path.</x:v>
      </x:c>
      <x:c r="J12" s="27" t="str">
        <x:v>M003 M005 M043</x:v>
      </x:c>
      <x:c r="K12" s="27" t="str">
        <x:v>AT04 AT32</x:v>
      </x:c>
      <x:c r="L12" s="27" t="str">
        <x:v>Developer</x:v>
      </x:c>
      <x:c r="M12" s="27" t="str">
        <x:v>Tech lead approves fields, access and retention with D09.</x:v>
      </x:c>
      <x:c r="N12" s="27" t="str">
        <x:v>R07; Baseline §8</x:v>
      </x:c>
    </x:row>
    <x:row r="13" ht="72" customHeight="1">
      <x:c r="A13" s="26" t="str">
        <x:v>T007</x:v>
      </x:c>
      <x:c r="B13" s="26" t="str">
        <x:v>SG1</x:v>
      </x:c>
      <x:c r="C13" s="26" t="n">
        <x:v>7</x:v>
      </x:c>
      <x:c r="D13" s="26" t="str">
        <x:v>Reproducible setup and CI</x:v>
      </x:c>
      <x:c r="E13" s="26" t="str">
        <x:v>Create locked installs, documented local setup, test fixtures and CI for reviewed shared work.</x:v>
      </x:c>
      <x:c r="F13" s="26" t="str">
        <x:v>Pinned supported runtimes/dependencies; PostgreSQL-backed tests; Python lint/type/tests; frontend lint/type/build; browser smoke; empty-DB migration; secret/dependency checks.</x:v>
      </x:c>
      <x:c r="G13" s="26" t="str">
        <x:v>Synthetic development data only. Separate contributor checkouts/task branches; required review/CI or documented manual equivalent. Existing approval policy applies.</x:v>
      </x:c>
      <x:c r="H13" s="26" t="str">
        <x:v>Failed checks prevent task acceptance; list checks not run. Do not weaken tests to make CI pass.</x:v>
      </x:c>
      <x:c r="I13" s="26" t="str">
        <x:v>Fresh checkout runs documented commands and real persisted UI journey; evidence tied to SHA.</x:v>
      </x:c>
      <x:c r="J13" s="26" t="str">
        <x:v>M002 M004 M006 M059</x:v>
      </x:c>
      <x:c r="K13" s="26" t="str">
        <x:v>AT05</x:v>
      </x:c>
      <x:c r="L13" s="26" t="str">
        <x:v>Developer</x:v>
      </x:c>
      <x:c r="M13" s="26" t="str">
        <x:v>D03 D04; commits/pushes follow recorded human authority.</x:v>
      </x:c>
      <x:c r="N13" s="26" t="str">
        <x:v>R09 R10; Baseline §9; Delivery plan §5</x:v>
      </x:c>
    </x:row>
    <x:row r="14" ht="72" customHeight="1">
      <x:c r="A14" s="27" t="str">
        <x:v>T008</x:v>
      </x:c>
      <x:c r="B14" s="27" t="str">
        <x:v>SG2</x:v>
      </x:c>
      <x:c r="C14" s="27" t="n">
        <x:v>14</x:v>
      </x:c>
      <x:c r="D14" s="27" t="str">
        <x:v>Plans, typed work and state transitions</x:v>
      </x:c>
      <x:c r="E14" s="27" t="str">
        <x:v>Implement distinct clinical-plan, appointment, task, investigation and referral state rules with current owner/version.</x:v>
      </x:c>
      <x:c r="F14" s="27" t="str">
        <x:v>Plan(template version, approver, effective date, exceptions); Task(owner, due, state, reason); Appointment; Investigation; Referral; original files/events.</x:v>
      </x:c>
      <x:c r="G14" s="27" t="str">
        <x:v>Validate each transition and role. Clinical plan activation/review belongs to clinician. Administrative urgency must not become clinical risk scoring.</x:v>
      </x:c>
      <x:c r="H14" s="27" t="str">
        <x:v>Dating/reschedule correction preserves history and cancels superseded future actions/reminders atomically with durable intent as applicable.</x:v>
      </x:c>
      <x:c r="I14" s="27" t="str">
        <x:v>Exercise late dates, missed appointments, upload-not-review, referral closure and stale reminder cancellation.</x:v>
      </x:c>
      <x:c r="J14" s="27" t="str">
        <x:v>M009 M011 M012</x:v>
      </x:c>
      <x:c r="K14" s="27" t="str">
        <x:v>AT06 AT07 AT08 AT09</x:v>
      </x:c>
      <x:c r="L14" s="27" t="str">
        <x:v>Developer</x:v>
      </x:c>
      <x:c r="M14" s="27" t="str">
        <x:v>D05; doctor approves schedule semantics and clinical-only transitions.</x:v>
      </x:c>
      <x:c r="N14" s="27" t="str">
        <x:v>R03 R05; Baseline §5–7</x:v>
      </x:c>
    </x:row>
    <x:row r="15" ht="72" customHeight="1">
      <x:c r="A15" s="26" t="str">
        <x:v>T009</x:v>
      </x:c>
      <x:c r="B15" s="26" t="str">
        <x:v>SG2</x:v>
      </x:c>
      <x:c r="C15" s="26" t="n">
        <x:v>14</x:v>
      </x:c>
      <x:c r="D15" s="26" t="str">
        <x:v>Private uploads and downloads</x:v>
      </x:c>
      <x:c r="E15" s="26" t="str">
        <x:v>Store files privately with authenticated, subject-scoped access and clear upload/receipt states.</x:v>
      </x:c>
      <x:c r="F15" s="26" t="str">
        <x:v>File ID; organization/subject; source; type; size; validated object key; checksum where used; upload status; authorized short-lived download.</x:v>
      </x:c>
      <x:c r="G15" s="26" t="str">
        <x:v>Validate content/type/size; safe filenames; no public record bucket or long-lived public clinical URL. Shared-phone links need subject authorization.</x:v>
      </x:c>
      <x:c r="H15" s="26" t="str">
        <x:v>Unsupported/failed upload remains failed with fallback; expired/revoked/unauthorized downloads fail.</x:v>
      </x:c>
      <x:c r="I15" s="26" t="str">
        <x:v>Report/media upload plus guessed ID, expired link and unsupported-type tests.</x:v>
      </x:c>
      <x:c r="J15" s="26" t="str">
        <x:v>M009 M012 M018 M020 M043</x:v>
      </x:c>
      <x:c r="K15" s="26" t="str">
        <x:v>AT08 AT13 AT22 AT32</x:v>
      </x:c>
      <x:c r="L15" s="26" t="str">
        <x:v>Developer</x:v>
      </x:c>
      <x:c r="M15" s="26" t="str">
        <x:v>Tech lead chooses reviewed file limits and access mechanism.</x:v>
      </x:c>
      <x:c r="N15" s="26" t="str">
        <x:v>R01 R07; Baseline §8</x:v>
      </x:c>
    </x:row>
    <x:row r="16" ht="72" customHeight="1">
      <x:c r="A16" s="27" t="str">
        <x:v>T010</x:v>
      </x:c>
      <x:c r="B16" s="27" t="str">
        <x:v>SG2</x:v>
      </x:c>
      <x:c r="C16" s="27" t="n">
        <x:v>14</x:v>
      </x:c>
      <x:c r="D16" s="27" t="str">
        <x:v>Patient and delegated access contract</x:v>
      </x:c>
      <x:c r="E16" s="27" t="str">
        <x:v>Specify identity verification, recovery, session and grant behavior before building patient access.</x:v>
      </x:c>
      <x:c r="F16" s="27" t="str">
        <x:v>Person/subject session; verifier/evidence; CaregiverGrant(subject, grantee, scope, grantor, expiry, revocation); child authority extends at SG4/SG5.</x:v>
      </x:c>
      <x:c r="G16" s="27" t="str">
        <x:v>Phone possession is not authorization. Verify current grant on record, search and download; protect shared-device sessions.</x:v>
      </x:c>
      <x:c r="H16" s="27" t="str">
        <x:v>Ambiguous identity stays restricted. Number changes never silently transfer access. Revocation denies next authorized request.</x:v>
      </x:c>
      <x:c r="I16" s="27" t="str">
        <x:v>Two women/one phone, another handset user, caregiver revoke and unverified guardian tests.</x:v>
      </x:c>
      <x:c r="J16" s="27" t="str">
        <x:v>M010 M013 M034 M037</x:v>
      </x:c>
      <x:c r="K16" s="27" t="str">
        <x:v>AT28 AT29 AT22</x:v>
      </x:c>
      <x:c r="L16" s="27" t="str">
        <x:v>Tech lead</x:v>
      </x:c>
      <x:c r="M16" s="27" t="str">
        <x:v>D07 is a blocking design decision; mechanism not pre-approved.</x:v>
      </x:c>
      <x:c r="N16" s="27" t="str">
        <x:v>R02 R07; Baseline §2, §7–8</x:v>
      </x:c>
    </x:row>
    <x:row r="17" ht="72" customHeight="1">
      <x:c r="A17" s="26" t="str">
        <x:v>T011</x:v>
      </x:c>
      <x:c r="B17" s="26" t="str">
        <x:v>SG3</x:v>
      </x:c>
      <x:c r="C17" s="26" t="n">
        <x:v>21</x:v>
      </x:c>
      <x:c r="D17" s="26" t="str">
        <x:v>Provider adapter and authenticated callbacks</x:v>
      </x:c>
      <x:c r="E17" s="26" t="str">
        <x:v>Use one official WhatsApp provider behind an adapter; verify current rules during setup.</x:v>
      </x:c>
      <x:c r="F17" s="26" t="str">
        <x:v>Outbound template send; provider IDs/status mapping; signature-verified webhook; inbound text/audio/photo; normalized status and error events.</x:v>
      </x:c>
      <x:c r="G17" s="26" t="str">
        <x:v>Keep credentials server-side; validate callback signature and deduplicate provider event IDs. Restrict unlinked media/message queue.</x:v>
      </x:c>
      <x:c r="H17" s="26" t="str">
        <x:v>Out-of-order/duplicate callbacks cannot create duplicate business effects or regress terminal status incorrectly; uncertain delivery requires reconciliation.</x:v>
      </x:c>
      <x:c r="I17" s="26" t="str">
        <x:v>Real test handset receipt and real inbound media; reject invalid webhook; replay callback without duplicate work.</x:v>
      </x:c>
      <x:c r="J17" s="26" t="str">
        <x:v>M017 M018 M019 M020 M024</x:v>
      </x:c>
      <x:c r="K17" s="26" t="str">
        <x:v>AT11 AT12 AT13</x:v>
      </x:c>
      <x:c r="L17" s="26" t="str">
        <x:v>Developer</x:v>
      </x:c>
      <x:c r="M17" s="26" t="str">
        <x:v>D06; provider onboarding, template approval and media rules verified.</x:v>
      </x:c>
      <x:c r="N17" s="26" t="str">
        <x:v>R01 R10; Baseline §5, §8</x:v>
      </x:c>
    </x:row>
    <x:row r="18" ht="72" customHeight="1">
      <x:c r="A18" s="27" t="str">
        <x:v>T012</x:v>
      </x:c>
      <x:c r="B18" s="27" t="str">
        <x:v>SG3</x:v>
      </x:c>
      <x:c r="C18" s="27" t="n">
        <x:v>21</x:v>
      </x:c>
      <x:c r="D18" s="27" t="str">
        <x:v>Durable jobs and send eligibility</x:v>
      </x:c>
      <x:c r="E18" s="27" t="str">
        <x:v>Persist intent with business change and process with durable claims/leases, bounded retries and an owned failure queue.</x:v>
      </x:c>
      <x:c r="F18" s="27" t="str">
        <x:v>Job/outbox ID; operation key; subject/recipient; content/plan version; eligibility; scheduled time; lease; attempts; provider ID; terminal reason.</x:v>
      </x:c>
      <x:c r="G18" s="27" t="str">
        <x:v>Before sending recheck current permission, recipient, plan, content and pause. Correctness cannot depend on in-memory jobs or counters.</x:v>
      </x:c>
      <x:c r="H18" s="27" t="str">
        <x:v>Worker crash/retry cannot repeat effect. Unknown provider acceptance is reconciled rather than blind resend. Cancel obsolete intent; retain audit/failure owner.</x:v>
      </x:c>
      <x:c r="I18" s="27" t="str">
        <x:v>Duplicate callback/job, timeout and worker restart tests at SG3; two-worker/crash suite at SG5.</x:v>
      </x:c>
      <x:c r="J18" s="27" t="str">
        <x:v>M017 M019 M044</x:v>
      </x:c>
      <x:c r="K18" s="27" t="str">
        <x:v>AT12 AT30</x:v>
      </x:c>
      <x:c r="L18" s="27" t="str">
        <x:v>Developer</x:v>
      </x:c>
      <x:c r="M18" s="27" t="str">
        <x:v>Tech lead approves retry/lease/timeout/reconciliation policy.</x:v>
      </x:c>
      <x:c r="N18" s="27" t="str">
        <x:v>R01 R10; Baseline §6, §8</x:v>
      </x:c>
    </x:row>
    <x:row r="19" ht="72" customHeight="1">
      <x:c r="A19" s="26" t="str">
        <x:v>T013</x:v>
      </x:c>
      <x:c r="B19" s="26" t="str">
        <x:v>SG3</x:v>
      </x:c>
      <x:c r="C19" s="26" t="n">
        <x:v>21</x:v>
      </x:c>
      <x:c r="D19" s="26" t="str">
        <x:v>Messaging privacy and operating limits</x:v>
      </x:c>
      <x:c r="E19" s="26" t="str">
        <x:v>Apply safe timing/detail/language and channel opt-out consistently to outbound jobs and staff responses.</x:v>
      </x:c>
      <x:c r="F19" s="26" t="str">
        <x:v>Contact preference/version; template/language/content version; consent state; send eligibility result; failure/callback owner.</x:v>
      </x:c>
      <x:c r="G19" s="26" t="str">
        <x:v>No sensitive payloads in logs or evidence. Voice/media stays private. Provider delivery and clinician review are separate states.</x:v>
      </x:c>
      <x:c r="H19" s="26" t="str">
        <x:v>Unsupported media or opt-out routes to appropriate human fallback. Never promise 24/7 monitoring through automated acknowledgement.</x:v>
      </x:c>
      <x:c r="I19" s="26" t="str">
        <x:v>Queued opt-out, safe-time change, ambiguous sender, log redaction and denied media access.</x:v>
      </x:c>
      <x:c r="J19" s="26" t="str">
        <x:v>M018 M020 M021 M022</x:v>
      </x:c>
      <x:c r="K19" s="26" t="str">
        <x:v>AT13 AT14 AT28 AT32</x:v>
      </x:c>
      <x:c r="L19" s="26" t="str">
        <x:v>Developer</x:v>
      </x:c>
      <x:c r="M19" s="26" t="str">
        <x:v>Doctor approves patient wording; facility approves staffed response hours.</x:v>
      </x:c>
      <x:c r="N19" s="26" t="str">
        <x:v>R01 R02 R07 R11; Baseline §2, §5</x:v>
      </x:c>
    </x:row>
    <x:row r="20" ht="72" customHeight="1">
      <x:c r="A20" s="27" t="str">
        <x:v>T014</x:v>
      </x:c>
      <x:c r="B20" s="27" t="str">
        <x:v>SG4</x:v>
      </x:c>
      <x:c r="C20" s="27" t="n">
        <x:v>28</x:v>
      </x:c>
      <x:c r="D20" s="27" t="str">
        <x:v>Birth, child and event data integrity</x:v>
      </x:c>
      <x:c r="E20" s="27" t="str">
        <x:v>Add child relationships and subject-specific outcome/discharge/readmission events without a mandatory fabricated pregnancy.</x:v>
      </x:c>
      <x:c r="F20" s="27" t="str">
        <x:v>Child with Person ID; optional known episode; explicit mother/guardian relationships; per-subject birth/outcome/discharge/transfer events; source and date precision.</x:v>
      </x:c>
      <x:c r="G20" s="27" t="str">
        <x:v>If a record can target episode or child, require exactly one valid subject with correct scope. Separate child and maternal lifecycle.</x:v>
      </x:c>
      <x:c r="H20" s="27" t="str">
        <x:v>Updating one twin must not affect sibling; unknown dates remain unknown; readmission never erases prior discharge.</x:v>
      </x:c>
      <x:c r="I20" s="27" t="str">
        <x:v>Twins, independent discharge, existing child without episode and wrong-subject link tests.</x:v>
      </x:c>
      <x:c r="J20" s="27" t="str">
        <x:v>M025 M027 M029</x:v>
      </x:c>
      <x:c r="K20" s="27" t="str">
        <x:v>AT15 AT16 AT29</x:v>
      </x:c>
      <x:c r="L20" s="27" t="str">
        <x:v>Developer</x:v>
      </x:c>
      <x:c r="M20" s="27" t="str">
        <x:v>Doctor/pediatric reviewer approves event meaning; tech lead reviews constraints.</x:v>
      </x:c>
      <x:c r="N20" s="27" t="str">
        <x:v>R02 R04; Baseline §4, §7</x:v>
      </x:c>
    </x:row>
    <x:row r="21" ht="72" customHeight="1">
      <x:c r="A21" s="26" t="str">
        <x:v>T015</x:v>
      </x:c>
      <x:c r="B21" s="26" t="str">
        <x:v>SG4</x:v>
      </x:c>
      <x:c r="C21" s="26" t="n">
        <x:v>28</x:v>
      </x:c>
      <x:c r="D21" s="26" t="str">
        <x:v>Loss pause and transfer consistency</x:v>
      </x:c>
      <x:c r="E21" s="26" t="str">
        <x:v>Make reported-loss pause and handover changes safe under concurrent workers and user updates.</x:v>
      </x:c>
      <x:c r="F21" s="26" t="str">
        <x:v>Subject-scoped pause/reason/version; final send check; outcome confirmation; transfer scope; receiving owner/acceptance; pending tasks.</x:v>
      </x:c>
      <x:c r="G21" s="26" t="str">
        <x:v>Pause is protective before confirmation. Preserve appropriate maternal/sibling work. Sharing must be authorized, not inferred from new facility.</x:v>
      </x:c>
      <x:c r="H21" s="26" t="str">
        <x:v>Record in-flight provider limit. No silent closure on transfer; concurrent edits use versions/transaction boundaries and require reconciliation.</x:v>
      </x:c>
      <x:c r="I21" s="26" t="str">
        <x:v>Queue/claim/pause race; one-twin loss; mother/child transfer to different sites; pending receiving acceptance.</x:v>
      </x:c>
      <x:c r="J21" s="26" t="str">
        <x:v>M026 M028 M032</x:v>
      </x:c>
      <x:c r="K21" s="26" t="str">
        <x:v>AT17 AT18 AT12</x:v>
      </x:c>
      <x:c r="L21" s="26" t="str">
        <x:v>Developer</x:v>
      </x:c>
      <x:c r="M21" s="26" t="str">
        <x:v>Doctor approves outcome communication; tech lead approves concurrency design.</x:v>
      </x:c>
      <x:c r="N21" s="26" t="str">
        <x:v>R04 R10; Baseline §4, §8</x:v>
      </x:c>
    </x:row>
    <x:row r="22" ht="72" customHeight="1">
      <x:c r="A22" s="27" t="str">
        <x:v>T016</x:v>
      </x:c>
      <x:c r="B22" s="27" t="str">
        <x:v>SG5</x:v>
      </x:c>
      <x:c r="C22" s="27" t="n">
        <x:v>42</x:v>
      </x:c>
      <x:c r="D22" s="27" t="str">
        <x:v>Offline drafts and sync contract</x:v>
      </x:c>
      <x:c r="E22" s="27" t="str">
        <x:v>Limit offline storage and changes to approved visit drafts for assigned caseloads on approved devices.</x:v>
      </x:c>
      <x:c r="F22" s="27" t="str">
        <x:v>Operation ID; subject authorization; base record version; allowed payload; event/source date; pending/failed/synced state; conflict response.</x:v>
      </x:c>
      <x:c r="G22" s="27" t="str">
        <x:v>No offline clinical-plan/discharge approval. Recheck current authorization at sync. Define local storage, retention and logout cleanup without losing unsent work silently.</x:v>
      </x:c>
      <x:c r="H22" s="27" t="str">
        <x:v>Retry is idempotent; stale version never overwrites current clinical plan. Show conflicts and pending drafts for authorized resolution.</x:v>
      </x:c>
      <x:c r="I22" s="27" t="str">
        <x:v>Offline draft, online change, repeated sync, revoked worker, logout/cleanup and weak-device tests.</x:v>
      </x:c>
      <x:c r="J22" s="27" t="str">
        <x:v>M033 M036 M040</x:v>
      </x:c>
      <x:c r="K22" s="27" t="str">
        <x:v>AT20 AT24</x:v>
      </x:c>
      <x:c r="L22" s="27" t="str">
        <x:v>Developer</x:v>
      </x:c>
      <x:c r="M22" s="27" t="str">
        <x:v>Tech lead approves device/local data rules and conflict UX.</x:v>
      </x:c>
      <x:c r="N22" s="27" t="str">
        <x:v>R08; Baseline §5</x:v>
      </x:c>
    </x:row>
    <x:row r="23" ht="72" customHeight="1">
      <x:c r="A23" s="26" t="str">
        <x:v>T017</x:v>
      </x:c>
      <x:c r="B23" s="26" t="str">
        <x:v>SG5</x:v>
      </x:c>
      <x:c r="C23" s="26" t="n">
        <x:v>42</x:v>
      </x:c>
      <x:c r="D23" s="26" t="str">
        <x:v>Content lifecycle and cache control</x:v>
      </x:c>
      <x:c r="E23" s="26" t="str">
        <x:v>Store approved matching text/audio versions and prevent new distribution of withdrawn or expired content.</x:v>
      </x:c>
      <x:c r="F23" s="26" t="str">
        <x:v>Content topic/stage/language/version; source; approver/review date; publish/withdraw state; public-cache expiry; link version.</x:v>
      </x:c>
      <x:c r="G23" s="26" t="str">
        <x:v>Only public education may be cached under policy; patient records excluded. Recheck current eligibility when scheduled content sends.</x:v>
      </x:c>
      <x:c r="H23" s="26" t="str">
        <x:v>Invalidate withdrawn links/queued messages. Offline public copies may persist until approved expiry; document limit and refresh indication.</x:v>
      </x:c>
      <x:c r="I23" s="26" t="str">
        <x:v>Withdraw version, follow old link and test previously cached public audio under stated expiry policy.</x:v>
      </x:c>
      <x:c r="J23" s="26" t="str">
        <x:v>M034 M037 M038 M047</x:v>
      </x:c>
      <x:c r="K23" s="26" t="str">
        <x:v>AT21 AT14</x:v>
      </x:c>
      <x:c r="L23" s="26" t="str">
        <x:v>Developer</x:v>
      </x:c>
      <x:c r="M23" s="26" t="str">
        <x:v>Clinical/language review plus tech lead-approved expiry and invalidation.</x:v>
      </x:c>
      <x:c r="N23" s="26" t="str">
        <x:v>R06 R08; Baseline §5</x:v>
      </x:c>
    </x:row>
    <x:row r="24" ht="72" customHeight="1">
      <x:c r="A24" s="27" t="str">
        <x:v>T018</x:v>
      </x:c>
      <x:c r="B24" s="27" t="str">
        <x:v>SG5</x:v>
      </x:c>
      <x:c r="C24" s="27" t="n">
        <x:v>42</x:v>
      </x:c>
      <x:c r="D24" s="27" t="str">
        <x:v>Rights, exports and audit views</x:v>
      </x:c>
      <x:c r="E24" s="27" t="str">
        <x:v>Implement scoped request workflow, safe care-record exports and authorized audit inspection.</x:v>
      </x:c>
      <x:c r="F24" s="27" t="str">
        <x:v>Rights request(type, subject, authority, owner, status, outcome); export scope; audit filters; retention review decision.</x:v>
      </x:c>
      <x:c r="G24" s="27" t="str">
        <x:v>Neutralize spreadsheet formula-like user input in exports; authorized downloads only. No automatic clinical record deletion or public vaccine certificate claim.</x:v>
      </x:c>
      <x:c r="H24" s="27" t="str">
        <x:v>Revocation/expiry blocks export retrieval; logging avoids sensitive values; request failures retain owner and visible state.</x:v>
      </x:c>
      <x:c r="I24" s="27" t="str">
        <x:v>Correction/export/deletion-review/grievance cases; guessed file; formula-like cell; sensitive logs.</x:v>
      </x:c>
      <x:c r="J24" s="27" t="str">
        <x:v>M043 M048</x:v>
      </x:c>
      <x:c r="K24" s="27" t="str">
        <x:v>AT22 AT32 AT04</x:v>
      </x:c>
      <x:c r="L24" s="27" t="str">
        <x:v>Developer</x:v>
      </x:c>
      <x:c r="M24" s="27" t="str">
        <x:v>D09; facility determines retention/legal basis before live use.</x:v>
      </x:c>
      <x:c r="N24" s="27" t="str">
        <x:v>R07 R10; Baseline §5, §8</x:v>
      </x:c>
    </x:row>
    <x:row r="25" ht="72" customHeight="1">
      <x:c r="A25" s="26" t="str">
        <x:v>T019</x:v>
      </x:c>
      <x:c r="B25" s="26" t="str">
        <x:v>SG5</x:v>
      </x:c>
      <x:c r="C25" s="26" t="n">
        <x:v>42</x:v>
      </x:c>
      <x:c r="D25" s="26" t="str">
        <x:v>Operations, observability and cost</x:v>
      </x:c>
      <x:c r="E25" s="26" t="str">
        <x:v>Provide actionable queue/health metrics, last update, pause controls and reviewed cost limits.</x:v>
      </x:c>
      <x:c r="F25" s="26" t="str">
        <x:v>Backlog by type/owner; job/failure/uncertain states; worker health; restricted logs; provider cost source; INR budget/alert/stop limits; audit.</x:v>
      </x:c>
      <x:c r="G25" s="26" t="str">
        <x:v>Metrics are administrative. Define denominator/time basis. Restrict bulk pause/resume; no process-local correctness. Use bounded queries and pagination.</x:v>
      </x:c>
      <x:c r="H25" s="26" t="str">
        <x:v>Alert assigned operator for stopped worker/failures; no false success on failed record receipt. Cost stop prevents further affected sends and leaves owned work.</x:v>
      </x:c>
      <x:c r="I25" s="26" t="str">
        <x:v>Queue, restart, duplicate-effect, stale-data and cost-control rehearsal with synthetic events.</x:v>
      </x:c>
      <x:c r="J25" s="26" t="str">
        <x:v>M041 M044 M046</x:v>
      </x:c>
      <x:c r="K25" s="26" t="str">
        <x:v>AT23 AT30 AT31</x:v>
      </x:c>
      <x:c r="L25" s="26" t="str">
        <x:v>Developer</x:v>
      </x:c>
      <x:c r="M25" s="26" t="str">
        <x:v>D10 selects thresholds/budget; facility owns operational response.</x:v>
      </x:c>
      <x:c r="N25" s="26" t="str">
        <x:v>R10 R11 R12; Baseline §8</x:v>
      </x:c>
    </x:row>
    <x:row r="26" ht="72" customHeight="1">
      <x:c r="A26" s="27" t="str">
        <x:v>T020</x:v>
      </x:c>
      <x:c r="B26" s="27" t="str">
        <x:v>SG5</x:v>
      </x:c>
      <x:c r="C26" s="27" t="n">
        <x:v>42</x:v>
      </x:c>
      <x:c r="D26" s="27" t="str">
        <x:v>Release configuration and vendor review</x:v>
      </x:c>
      <x:c r="E26" s="27" t="str">
        <x:v>Prepare separate local/staging/production configuration, secret handling, deployment steps and vendor/data-flow review.</x:v>
      </x:c>
      <x:c r="F26" s="27" t="str">
        <x:v>Environment config; secret references; migration version; dependency locks; object store; worker config; backup plan; vendor inventory.</x:v>
      </x:c>
      <x:c r="G26" s="27" t="str">
        <x:v>No real patient data in development/CI/evidence. Encryption in transit/at rest; restricted access. Hosting location is a policy decision, not a legal certification.</x:v>
      </x:c>
      <x:c r="H26" s="27" t="str">
        <x:v>Record service-unavailable fallback; deployments need authorization. Privacy/retention/vendor gaps block live enrolment.</x:v>
      </x:c>
      <x:c r="I26" s="27" t="str">
        <x:v>Document reviewed configuration and reproducible release procedure; later recovery drill proves operability.</x:v>
      </x:c>
      <x:c r="J26" s="27" t="str">
        <x:v>M042 M046 M056</x:v>
      </x:c>
      <x:c r="K26" s="27" t="str">
        <x:v>AT05 AT25 AT32</x:v>
      </x:c>
      <x:c r="L26" s="27" t="str">
        <x:v>Tech lead</x:v>
      </x:c>
      <x:c r="M26" s="27" t="str">
        <x:v>D09 D10; applicable pilot-date review and cost approval.</x:v>
      </x:c>
      <x:c r="N26" s="27" t="str">
        <x:v>R07 R10; Baseline §8</x:v>
      </x:c>
    </x:row>
    <x:row r="27" ht="72" customHeight="1">
      <x:c r="A27" s="26" t="str">
        <x:v>T021</x:v>
      </x:c>
      <x:c r="B27" s="26" t="str">
        <x:v>SG6</x:v>
      </x:c>
      <x:c r="C27" s="26" t="n">
        <x:v>49</x:v>
      </x:c>
      <x:c r="D27" s="26" t="str">
        <x:v>Backup, restore and rollback</x:v>
      </x:c>
      <x:c r="E27" s="26" t="str">
        <x:v>Restore records, media and necessary configuration in isolated staging and reconcile audit/pending jobs. Rehearse application and migration-compatible rollback.</x:v>
      </x:c>
      <x:c r="F27" s="26" t="str">
        <x:v>Backup timestamps; source versions; integrity checks; restore start/end; pending jobs/provider acceptance; rollback steps; operator.</x:v>
      </x:c>
      <x:c r="G27" s="26" t="str">
        <x:v>Proposed RPO ≤24h and RTO ≤4h need approval and measured proof. Protect backups and secrets. Do not assume code rollback reverses destructive schema changes.</x:v>
      </x:c>
      <x:c r="H27" s="26" t="str">
        <x:v>Recovery must not resend provider-accepted messages or lose pending ownership. Failed drill blocks release until corrected.</x:v>
      </x:c>
      <x:c r="I27" s="26" t="str">
        <x:v>Timed restore and rollback with integrity, access, audit and message reconciliation evidence.</x:v>
      </x:c>
      <x:c r="J27" s="26" t="str">
        <x:v>M049 M052 M055 M056</x:v>
      </x:c>
      <x:c r="K27" s="26" t="str">
        <x:v>AT25</x:v>
      </x:c>
      <x:c r="L27" s="26" t="str">
        <x:v>Tech lead</x:v>
      </x:c>
      <x:c r="M27" s="26" t="str">
        <x:v>D10 approves targets; tester independently records drill evidence.</x:v>
      </x:c>
      <x:c r="N27" s="26" t="str">
        <x:v>R10; Baseline §8</x:v>
      </x:c>
    </x:row>
    <x:row r="28" ht="72" customHeight="1">
      <x:c r="A28" s="27" t="str">
        <x:v>T022</x:v>
      </x:c>
      <x:c r="B28" s="27" t="str">
        <x:v>SG6</x:v>
      </x:c>
      <x:c r="C28" s="27" t="n">
        <x:v>49</x:v>
      </x:c>
      <x:c r="D28" s="27" t="str">
        <x:v>Load, weak network and accessibility</x:v>
      </x:c>
      <x:c r="E28" s="27" t="str">
        <x:v>Test the agreed pilot profile and actual low-end devices; measure errors as well as latency.</x:v>
      </x:c>
      <x:c r="F28" s="27" t="str">
        <x:v>100 synthetic records; 10 concurrent staff; 200 scheduled messages/day; recorded network/run duration; p95 core non-media latency; retry/duplicate counts.</x:v>
      </x:c>
      <x:c r="G28" s="27" t="str">
        <x:v>Proposed p95 ≤3 seconds under agreed network. Media tested separately. Targets are project assumptions, not certification of future scale.</x:v>
      </x:c>
      <x:c r="H28" s="27" t="str">
        <x:v>Weak-network failures show pending/error and recover without duplicate effects. Large text/audio/help tasks remain usable.</x:v>
      </x:c>
      <x:c r="I28" s="27" t="str">
        <x:v>AT26 measured run plus six-user AT24 evidence; document conditions, defects and retests.</x:v>
      </x:c>
      <x:c r="J28" s="27" t="str">
        <x:v>M049 M051 M053 M055</x:v>
      </x:c>
      <x:c r="K28" s="27" t="str">
        <x:v>AT24 AT26</x:v>
      </x:c>
      <x:c r="L28" s="27" t="str">
        <x:v>Tech lead</x:v>
      </x:c>
      <x:c r="M28" s="27" t="str">
        <x:v>D10 and tester approve profile; doctor assesses comprehension.</x:v>
      </x:c>
      <x:c r="N28" s="27" t="str">
        <x:v>R08 R12; Baseline §8</x:v>
      </x:c>
    </x:row>
    <x:row r="29" ht="72" customHeight="1">
      <x:c r="A29" s="26" t="str">
        <x:v>T023</x:v>
      </x:c>
      <x:c r="B29" s="26" t="str">
        <x:v>SG7</x:v>
      </x:c>
      <x:c r="C29" s="26" t="n">
        <x:v>56</x:v>
      </x:c>
      <x:c r="D29" s="26" t="str">
        <x:v>Release evidence and change control</x:v>
      </x:c>
      <x:c r="E29" s="26" t="str">
        <x:v>Tie mandatory tests, content approvals, setup and operational sign-offs to one candidate SHA.</x:v>
      </x:c>
      <x:c r="F29" s="26" t="str">
        <x:v>Baseline/version; M/F/T/AT mapping; CI and demo evidence; doctor feedback; open defects; reviewer; release/rollback plan; authorization.</x:v>
      </x:c>
      <x:c r="G29" s="26" t="str">
        <x:v>No critical/high open defects. No gate auto-passes from task counts. Evidence reuse requires affected-code assessment. Keep patient data/secrets out of reports.</x:v>
      </x:c>
      <x:c r="H29" s="26" t="str">
        <x:v>Failed mandatory check holds affected release. Days 57–60 are correction reserve; new features need re-estimation.</x:v>
      </x:c>
      <x:c r="I29" s="26" t="str">
        <x:v>Fresh setup, all AT01–AT32 current, independent review and separate technical/clinical/operating sign-offs.</x:v>
      </x:c>
      <x:c r="J29" s="26" t="str">
        <x:v>M056 M057 M058 M059 M060 M061 M062</x:v>
      </x:c>
      <x:c r="K29" s="26" t="str">
        <x:v>AT01–AT32</x:v>
      </x:c>
      <x:c r="L29" s="26" t="str">
        <x:v>Tech lead</x:v>
      </x:c>
      <x:c r="M29" s="26" t="str">
        <x:v>D12; team authorizes deployment/enrolment separately.</x:v>
      </x:c>
      <x:c r="N29" s="26" t="str">
        <x:v>R10–R12; Baseline §9; Delivery plan SG7</x:v>
      </x:c>
    </x:row>
  </x:sheetData>
  <x:pageMargins left="0.7" right="0.7" top="0.75" bottom="0.75" header="0.3" footer="0.3"/>
  <x:tableParts count="1">
    <x:tablePart xmlns:r="http://schemas.openxmlformats.org/officeDocument/2006/relationships" r:id="R06fa9f7d79a64327"/>
  </x:tableParts>
</x:worksheet>
</file>