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tes" sheetId="1" state="visible" r:id="rId1"/>
    <sheet name="Tasks" sheetId="2" state="visible" r:id="rId2"/>
    <sheet name="Acceptance" sheetId="3" state="visible" r:id="rId3"/>
    <sheet name="Capacity" sheetId="4" state="visible" r:id="rId4"/>
    <sheet name="Decisions" sheetId="5" state="visible" r:id="rId5"/>
    <sheet name="Traceability" sheetId="6" state="visible" r:id="rId6"/>
    <sheet name="Functional Specs" sheetId="7" state="visible" r:id="rId7"/>
    <sheet name="Technical Specs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rlito"/>
      <sz val="11"/>
    </font>
    <font>
      <name val="Arial"/>
      <color rgb="FF202B33"/>
      <sz val="11"/>
    </font>
    <font>
      <name val="Arial"/>
      <b val="1"/>
      <color rgb="FF202B33"/>
      <sz val="16"/>
    </font>
    <font>
      <name val="Arial"/>
      <i val="1"/>
      <color rgb="FF52616B"/>
      <sz val="10"/>
    </font>
    <font>
      <name val="Arial"/>
      <b val="1"/>
      <color rgb="FFFFFFFF"/>
      <sz val="11"/>
    </font>
    <font>
      <name val="Carlito"/>
      <b val="1"/>
      <sz val="14"/>
    </font>
    <font>
      <name val="Carlito"/>
      <b val="1"/>
      <color rgb="FFFFFFFF"/>
      <sz val="11"/>
    </font>
    <font>
      <name val="Arial"/>
      <color rgb="FF253746"/>
      <sz val="11"/>
    </font>
    <font>
      <name val="Arial"/>
      <b val="1"/>
      <color rgb="FF253746"/>
      <sz val="16"/>
    </font>
    <font>
      <name val="Arial"/>
      <i val="1"/>
      <color rgb="FF526571"/>
      <sz val="10"/>
    </font>
  </fonts>
  <fills count="8">
    <fill>
      <patternFill/>
    </fill>
    <fill>
      <patternFill patternType="gray125"/>
    </fill>
    <fill>
      <patternFill patternType="solid">
        <fgColor rgb="FF243746"/>
      </patternFill>
    </fill>
    <fill>
      <patternFill patternType="solid">
        <fgColor rgb="FFF1F4F6"/>
      </patternFill>
    </fill>
    <fill>
      <patternFill patternType="solid">
        <fgColor rgb="FFFFF2CC"/>
      </patternFill>
    </fill>
    <fill>
      <patternFill patternType="solid">
        <fgColor rgb="FF253B49"/>
      </patternFill>
    </fill>
    <fill>
      <patternFill patternType="solid">
        <fgColor rgb="FFF1F4F6"/>
      </patternFill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4" fontId="1" fillId="4" borderId="0" applyAlignment="1" pivotButton="0" quotePrefix="0" xfId="0">
      <alignment vertical="top" wrapText="1"/>
    </xf>
    <xf numFmtId="0" fontId="5" fillId="0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164" fontId="1" fillId="3" borderId="0" applyAlignment="1" pivotButton="0" quotePrefix="0" xfId="0">
      <alignment vertical="top" wrapText="1"/>
    </xf>
    <xf numFmtId="164" fontId="1" fillId="4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/>
  </cellStyles>
  <dxfs count="6">
    <dxf>
      <font>
        <b val="1"/>
        <color rgb="FFA02020"/>
      </font>
      <fill>
        <patternFill>
          <bgColor rgb="FFFDE9E7"/>
        </patternFill>
      </fill>
    </dxf>
    <dxf>
      <fill>
        <patternFill>
          <bgColor rgb="FFFDE9E7"/>
        </patternFill>
      </fill>
    </dxf>
    <dxf>
      <font>
        <b val="1"/>
        <color rgb="FFA02020"/>
      </font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ont>
        <b val="1"/>
        <color rgb="FFA02020"/>
      </font>
      <fill>
        <patternFill>
          <bgColor rgb="FFFDE9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atesTable" displayName="GatesTable" ref="A6:N14" headerRowCount="1" totalsRowCount="0" totalsRowShown="0">
  <tableColumns count="14">
    <tableColumn id="1" name="Gate"/>
    <tableColumn id="2" name="Day"/>
    <tableColumn id="3" name="Milestone"/>
    <tableColumn id="4" name="Demonstrate"/>
    <tableColumn id="5" name="Exit criteria"/>
    <tableColumn id="6" name="Required reviewers"/>
    <tableColumn id="7" name="Evidence pack"/>
    <tableColumn id="8" name="Outcome"/>
    <tableColumn id="9" name="Decision by / date"/>
    <tableColumn id="10" name="Evidence link"/>
    <tableColumn id="11" name="Tasks"/>
    <tableColumn id="12" name="Verified done"/>
    <tableColumn id="13" name="Functional spec IDs"/>
    <tableColumn id="14" name="Technical spec 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sksTable" displayName="TasksTable" ref="A6:R68" headerRowCount="1" totalsRowCount="0" totalsRowShown="0">
  <tableColumns count="18">
    <tableColumn id="1" name="ID"/>
    <tableColumn id="2" name="Week"/>
    <tableColumn id="3" name="Gate"/>
    <tableColumn id="4" name="Owner"/>
    <tableColumn id="5" name="Est. hours"/>
    <tableColumn id="6" name="Task"/>
    <tableColumn id="7" name="Dependencies"/>
    <tableColumn id="8" name="Requirements"/>
    <tableColumn id="9" name="Acceptance / evidence needed"/>
    <tableColumn id="10" name="Reviewer"/>
    <tableColumn id="11" name="Status"/>
    <tableColumn id="12" name="Evidence link"/>
    <tableColumn id="13" name="Review result"/>
    <tableColumn id="14" name="Actual hours"/>
    <tableColumn id="15" name="Issue / PR"/>
    <tableColumn id="16" name="Actual reviewer"/>
    <tableColumn id="17" name="Verified done"/>
    <tableColumn id="18" name="Detailed spec I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ceptanceTable" displayName="AcceptanceTable" ref="A6:K38" headerRowCount="1" totalsRowCount="0" totalsRowShown="0">
  <tableColumns count="11">
    <tableColumn id="1" name="Case"/>
    <tableColumn id="2" name="First gate"/>
    <tableColumn id="3" name="Requirements"/>
    <tableColumn id="4" name="Scenario"/>
    <tableColumn id="5" name="Test steps"/>
    <tableColumn id="6" name="Expected outcome"/>
    <tableColumn id="7" name="Reviewer"/>
    <tableColumn id="8" name="Result"/>
    <tableColumn id="9" name="Evidence link"/>
    <tableColumn id="10" name="Candidate SHA / date"/>
    <tableColumn id="11" name="Actual review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pacityTable" displayName="CapacityTable" ref="A6:F46" headerRowCount="1" totalsRowCount="0" totalsRowShown="0">
  <tableColumns count="6">
    <tableColumn id="1" name="Week"/>
    <tableColumn id="2" name="Role"/>
    <tableColumn id="3" name="Available h"/>
    <tableColumn id="4" name="Planned h"/>
    <tableColumn id="5" name="Remaining h"/>
    <tableColumn id="6" name="Action / dec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cisionsTable" displayName="DecisionsTable" ref="A6:I18" headerRowCount="1" totalsRowCount="0" totalsRowShown="0">
  <tableColumns count="9">
    <tableColumn id="1" name="ID"/>
    <tableColumn id="2" name="Due gate"/>
    <tableColumn id="3" name="Owner"/>
    <tableColumn id="4" name="Decision needed"/>
    <tableColumn id="5" name="Proposed direction"/>
    <tableColumn id="6" name="Status"/>
    <tableColumn id="7" name="Decision / rationale"/>
    <tableColumn id="8" name="Approved by / date"/>
    <tableColumn id="9" name="Evidence li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aceabilityTable" displayName="TraceabilityTable" ref="A6:E26" headerRowCount="1" totalsRowCount="0" totalsRowShown="0">
  <tableColumns count="5">
    <tableColumn id="1" name="Requirement"/>
    <tableColumn id="2" name="Required scope"/>
    <tableColumn id="3" name="Gates"/>
    <tableColumn id="4" name="Implementation tasks"/>
    <tableColumn id="5" name="Acceptance cas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unctionalSpecsTable" displayName="FunctionalSpecsTable" ref="A6:O50" headerRowCount="1" totalsRowCount="0" totalsRowShown="0">
  <tableColumns count="15">
    <tableColumn id="1" name="Spec ID"/>
    <tableColumn id="2" name="Gate"/>
    <tableColumn id="3" name="Day"/>
    <tableColumn id="4" name="Feature / screen"/>
    <tableColumn id="5" name="Users"/>
    <tableColumn id="6" name="Detailed functionality to build"/>
    <tableColumn id="7" name="Required data"/>
    <tableColumn id="8" name="Workflow rules and exceptions"/>
    <tableColumn id="9" name="Rural / semi-urban use"/>
    <tableColumn id="10" name="What to demonstrate"/>
    <tableColumn id="11" name="Linked task IDs"/>
    <tableColumn id="12" name="Acceptance cases"/>
    <tableColumn id="13" name="Delivery owner"/>
    <tableColumn id="14" name="Required approval / open decision"/>
    <tableColumn id="15" name="Source require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echnicalSpecsTable" displayName="TechnicalSpecsTable" ref="A6:N29" headerRowCount="1" totalsRowCount="0" totalsRowShown="0">
  <tableColumns count="14">
    <tableColumn id="1" name="Spec ID"/>
    <tableColumn id="2" name="Gate"/>
    <tableColumn id="3" name="Day"/>
    <tableColumn id="4" name="Component / area"/>
    <tableColumn id="5" name="Implementation requirement"/>
    <tableColumn id="6" name="Data / interface contract"/>
    <tableColumn id="7" name="Controls and constraints"/>
    <tableColumn id="8" name="Failure / exception behavior"/>
    <tableColumn id="9" name="Verification required"/>
    <tableColumn id="10" name="Linked task IDs"/>
    <tableColumn id="11" name="Acceptance cases"/>
    <tableColumn id="12" name="Delivery owner"/>
    <tableColumn id="13" name="Required decision / approval"/>
    <tableColumn id="14" name="Source requi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0" customWidth="1" min="1" max="1"/>
    <col width="7" customWidth="1" min="2" max="2"/>
    <col width="27" customWidth="1" min="3" max="3"/>
    <col width="48" customWidth="1" min="4" max="4"/>
    <col width="54" customWidth="1" min="5" max="5"/>
    <col width="32" customWidth="1" min="6" max="6"/>
    <col width="48" customWidth="1" min="7" max="7"/>
    <col width="16" customWidth="1" min="8" max="8"/>
    <col width="26" customWidth="1" min="9" max="9"/>
    <col width="26" customWidth="1" min="10" max="10"/>
    <col width="9" customWidth="1" min="11" max="11"/>
    <col width="14" customWidth="1" min="12" max="12"/>
    <col width="36" customWidth="1" min="13" max="13"/>
    <col width="36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MatriSathi stage gates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3" t="inlineStr">
        <is>
          <t>Day 1 = agreed kickoff. Counts do not approve gates. Amber cells require human input.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9" t="inlineStr">
        <is>
          <t>Version 1.1: detailed build requirements are in Functional Specs and Technical Specs. Gate IDs SG0–SG7 are milestones; F/T IDs are specs; R IDs are shared requirements.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34" customHeight="1">
      <c r="A6" s="8" t="inlineStr">
        <is>
          <t>Gate</t>
        </is>
      </c>
      <c r="B6" s="8" t="inlineStr">
        <is>
          <t>Day</t>
        </is>
      </c>
      <c r="C6" s="8" t="inlineStr">
        <is>
          <t>Milestone</t>
        </is>
      </c>
      <c r="D6" s="8" t="inlineStr">
        <is>
          <t>Demonstrate</t>
        </is>
      </c>
      <c r="E6" s="8" t="inlineStr">
        <is>
          <t>Exit criteria</t>
        </is>
      </c>
      <c r="F6" s="8" t="inlineStr">
        <is>
          <t>Required reviewers</t>
        </is>
      </c>
      <c r="G6" s="8" t="inlineStr">
        <is>
          <t>Evidence pack</t>
        </is>
      </c>
      <c r="H6" s="8" t="inlineStr">
        <is>
          <t>Outcome</t>
        </is>
      </c>
      <c r="I6" s="8" t="inlineStr">
        <is>
          <t>Decision by / date</t>
        </is>
      </c>
      <c r="J6" s="8" t="inlineStr">
        <is>
          <t>Evidence link</t>
        </is>
      </c>
      <c r="K6" s="8" t="inlineStr">
        <is>
          <t>Tasks</t>
        </is>
      </c>
      <c r="L6" s="8" t="inlineStr">
        <is>
          <t>Verified done</t>
        </is>
      </c>
      <c r="M6" s="29" t="inlineStr">
        <is>
          <t>Functional spec IDs</t>
        </is>
      </c>
      <c r="N6" s="29" t="inlineStr">
        <is>
          <t>Technical spec IDs</t>
        </is>
      </c>
    </row>
    <row r="7" ht="55" customHeight="1">
      <c r="A7" s="9" t="inlineStr">
        <is>
          <t>SG0</t>
        </is>
      </c>
      <c r="B7" s="9" t="n">
        <v>2</v>
      </c>
      <c r="C7" s="9" t="inlineStr">
        <is>
          <t>Kickoff and working agreement</t>
        </is>
      </c>
      <c r="D7" s="9" t="inlineStr">
        <is>
          <t>Baseline, roles, capacity, repository workflow and clinical owners agreed.</t>
        </is>
      </c>
      <c r="E7" s="9" t="inlineStr">
        <is>
          <t>Approve scope amendments, decision owners, weekly hours and first slice. Repository setup evidenced or a named blocker recorded.</t>
        </is>
      </c>
      <c r="F7" s="9" t="inlineStr">
        <is>
          <t>Team lead + Tech lead</t>
        </is>
      </c>
      <c r="G7" s="9" t="inlineStr">
        <is>
          <t>Baseline files; decision log; owner list; approved next-stage scope.</t>
        </is>
      </c>
      <c r="H7" s="10" t="inlineStr">
        <is>
          <t>Pending</t>
        </is>
      </c>
      <c r="I7" s="10" t="str"/>
      <c r="J7" s="10" t="str"/>
      <c r="K7" s="9">
        <f>COUNTIF(Tasks!$C$7:$C$68,A7)</f>
        <v/>
      </c>
      <c r="L7" s="9">
        <f>SUMIF(Tasks!$C$7:$C$68,A7,Tasks!$Q$7:$Q$68)</f>
        <v/>
      </c>
      <c r="M7" s="26" t="inlineStr">
        <is>
          <t>F001</t>
        </is>
      </c>
      <c r="N7" s="26" t="inlineStr">
        <is>
          <t>T001</t>
        </is>
      </c>
    </row>
    <row r="8" ht="40" customHeight="1">
      <c r="A8" s="5" t="inlineStr">
        <is>
          <t>SG1</t>
        </is>
      </c>
      <c r="B8" s="5" t="n">
        <v>7</v>
      </c>
      <c r="C8" s="5" t="inlineStr">
        <is>
          <t>Independent foundation</t>
        </is>
      </c>
      <c r="D8" s="5" t="inlineStr">
        <is>
          <t>Browser login, mother registration and pregnancy creation survive reload/restart.</t>
        </is>
      </c>
      <c r="E8" s="5" t="inlineStr">
        <is>
          <t>AT01–AT05 pass; two organizations tested; clean setup and CI evidence; first slice reviewed.</t>
        </is>
      </c>
      <c r="F8" s="5" t="inlineStr">
        <is>
          <t>Tech lead + Team lead</t>
        </is>
      </c>
      <c r="G8" s="5" t="inlineStr">
        <is>
          <t>Commit SHA; CI output; synthetic browser demo; schema/permission review.</t>
        </is>
      </c>
      <c r="H8" s="10" t="inlineStr">
        <is>
          <t>Pending</t>
        </is>
      </c>
      <c r="I8" s="10" t="str"/>
      <c r="J8" s="10" t="str"/>
      <c r="K8" s="5">
        <f>COUNTIF(Tasks!$C$7:$C$68,A8)</f>
        <v/>
      </c>
      <c r="L8" s="5">
        <f>SUMIF(Tasks!$C$7:$C$68,A8,Tasks!$Q$7:$Q$68)</f>
        <v/>
      </c>
      <c r="M8" s="27" t="inlineStr">
        <is>
          <t>F002–F004</t>
        </is>
      </c>
      <c r="N8" s="27" t="inlineStr">
        <is>
          <t>T002–T007</t>
        </is>
      </c>
    </row>
    <row r="9" ht="55" customHeight="1">
      <c r="A9" s="9" t="inlineStr">
        <is>
          <t>SG2</t>
        </is>
      </c>
      <c r="B9" s="9" t="n">
        <v>14</v>
      </c>
      <c r="C9" s="9" t="inlineStr">
        <is>
          <t>Pregnancy care and next actions</t>
        </is>
      </c>
      <c r="D9" s="9" t="inlineStr">
        <is>
          <t>Approved ANC plan, birth preparation, tasks, private records and safe patient access work.</t>
        </is>
      </c>
      <c r="E9" s="9" t="inlineStr">
        <is>
          <t>AT06–AT10 and AT28 pass; doctor validates journey and schedule; uploaded report is not marked reviewed.</t>
        </is>
      </c>
      <c r="F9" s="9" t="inlineStr">
        <is>
          <t>Team lead + Doctor + Tech lead</t>
        </is>
      </c>
      <c r="G9" s="9" t="inlineStr">
        <is>
          <t>Clinical version approvals; task/referral demo; private-file access tests.</t>
        </is>
      </c>
      <c r="H9" s="10" t="inlineStr">
        <is>
          <t>Pending</t>
        </is>
      </c>
      <c r="I9" s="10" t="str"/>
      <c r="J9" s="10" t="str"/>
      <c r="K9" s="9">
        <f>COUNTIF(Tasks!$C$7:$C$68,A9)</f>
        <v/>
      </c>
      <c r="L9" s="9">
        <f>SUMIF(Tasks!$C$7:$C$68,A9,Tasks!$Q$7:$Q$68)</f>
        <v/>
      </c>
      <c r="M9" s="26" t="inlineStr">
        <is>
          <t>F005–F015, F044</t>
        </is>
      </c>
      <c r="N9" s="26" t="inlineStr">
        <is>
          <t>T008–T010</t>
        </is>
      </c>
    </row>
    <row r="10" ht="55" customHeight="1">
      <c r="A10" s="5" t="inlineStr">
        <is>
          <t>SG3</t>
        </is>
      </c>
      <c r="B10" s="5" t="n">
        <v>21</v>
      </c>
      <c r="C10" s="5" t="inlineStr">
        <is>
          <t>Real WhatsApp and voice</t>
        </is>
      </c>
      <c r="D10" s="5" t="inlineStr">
        <is>
          <t>Actual outbound template plus inbound text, audio and photo reach a staffed test inbox.</t>
        </is>
      </c>
      <c r="E10" s="5" t="inlineStr">
        <is>
          <t>AT11–AT14 pass on consenting staff test numbers; retries, opt-out and recipient ambiguity demonstrated.</t>
        </is>
      </c>
      <c r="F10" s="5" t="inlineStr">
        <is>
          <t>Tech lead + Team lead + Doctor</t>
        </is>
      </c>
      <c r="G10" s="5" t="inlineStr">
        <is>
          <t>Provider configuration record without secrets; message IDs/statuses; audio demo; failure rehearsal.</t>
        </is>
      </c>
      <c r="H10" s="10" t="inlineStr">
        <is>
          <t>Pending</t>
        </is>
      </c>
      <c r="I10" s="10" t="str"/>
      <c r="J10" s="10" t="str"/>
      <c r="K10" s="5">
        <f>COUNTIF(Tasks!$C$7:$C$68,A10)</f>
        <v/>
      </c>
      <c r="L10" s="5">
        <f>SUMIF(Tasks!$C$7:$C$68,A10,Tasks!$Q$7:$Q$68)</f>
        <v/>
      </c>
      <c r="M10" s="27" t="inlineStr">
        <is>
          <t>F016–F020</t>
        </is>
      </c>
      <c r="N10" s="27" t="inlineStr">
        <is>
          <t>T011–T013</t>
        </is>
      </c>
    </row>
    <row r="11" ht="40" customHeight="1">
      <c r="A11" s="9" t="inlineStr">
        <is>
          <t>SG4</t>
        </is>
      </c>
      <c r="B11" s="9" t="n">
        <v>28</v>
      </c>
      <c r="C11" s="9" t="inlineStr">
        <is>
          <t>Birth and early postpartum</t>
        </is>
      </c>
      <c r="D11" s="9" t="inlineStr">
        <is>
          <t>Separate mother/baby events, twins, discharge, loss pause and transfer work.</t>
        </is>
      </c>
      <c r="E11" s="9" t="inlineStr">
        <is>
          <t>AT15–AT18 and AT29 pass; maternal and pediatric reviewers validate event handling.</t>
        </is>
      </c>
      <c r="F11" s="9" t="inlineStr">
        <is>
          <t>Doctor + Pediatric reviewer + Tech lead</t>
        </is>
      </c>
      <c r="G11" s="9" t="inlineStr">
        <is>
          <t>Twin/loss/transfer scenarios; clinical approvals; task handover evidence.</t>
        </is>
      </c>
      <c r="H11" s="10" t="inlineStr">
        <is>
          <t>Pending</t>
        </is>
      </c>
      <c r="I11" s="10" t="str"/>
      <c r="J11" s="10" t="str"/>
      <c r="K11" s="9">
        <f>COUNTIF(Tasks!$C$7:$C$68,A11)</f>
        <v/>
      </c>
      <c r="L11" s="9">
        <f>SUMIF(Tasks!$C$7:$C$68,A11,Tasks!$Q$7:$Q$68)</f>
        <v/>
      </c>
      <c r="M11" s="26" t="inlineStr">
        <is>
          <t>F021–F028</t>
        </is>
      </c>
      <c r="N11" s="26" t="inlineStr">
        <is>
          <t>T014–T015</t>
        </is>
      </c>
    </row>
    <row r="12" ht="55" customHeight="1">
      <c r="A12" s="5" t="inlineStr">
        <is>
          <t>SG5</t>
        </is>
      </c>
      <c r="B12" s="5" t="n">
        <v>42</v>
      </c>
      <c r="C12" s="5" t="inlineStr">
        <is>
          <t>Complete MVP scope</t>
        </is>
      </c>
      <c r="D12" s="5" t="inlineStr">
        <is>
          <t>All eight journey stages and R01–R12 functionality implemented; release hardening continues.</t>
        </is>
      </c>
      <c r="E12" s="5" t="inlineStr">
        <is>
          <t>AT01–AT23 and AT28–AT32 pass; all 12 audio topics approved; all mandatory scope mapped.</t>
        </is>
      </c>
      <c r="F12" s="5" t="inlineStr">
        <is>
          <t>Team lead + Doctor/Pediatric reviewer + Tech lead</t>
        </is>
      </c>
      <c r="G12" s="5" t="inlineStr">
        <is>
          <t>Traceability matrix; full journey demo; regression; content approvals; open-defect list.</t>
        </is>
      </c>
      <c r="H12" s="10" t="inlineStr">
        <is>
          <t>Pending</t>
        </is>
      </c>
      <c r="I12" s="10" t="str"/>
      <c r="J12" s="10" t="str"/>
      <c r="K12" s="5">
        <f>COUNTIF(Tasks!$C$7:$C$68,A12)</f>
        <v/>
      </c>
      <c r="L12" s="5">
        <f>SUMIF(Tasks!$C$7:$C$68,A12,Tasks!$Q$7:$Q$68)</f>
        <v/>
      </c>
      <c r="M12" s="27" t="inlineStr">
        <is>
          <t>F029–F040</t>
        </is>
      </c>
      <c r="N12" s="27" t="inlineStr">
        <is>
          <t>T016–T020</t>
        </is>
      </c>
    </row>
    <row r="13" ht="55" customHeight="1">
      <c r="A13" s="9" t="inlineStr">
        <is>
          <t>SG6</t>
        </is>
      </c>
      <c r="B13" s="9" t="n">
        <v>49</v>
      </c>
      <c r="C13" s="9" t="inlineStr">
        <is>
          <t>Field validation and resilience</t>
        </is>
      </c>
      <c r="D13" s="9" t="inlineStr">
        <is>
          <t>Representative rural/semi-urban users complete core tasks; restore and failure drills run.</t>
        </is>
      </c>
      <c r="E13" s="9" t="inlineStr">
        <is>
          <t>AT24–AT27 pass; at least 5/6 users succeed with intended assistance and no safety-critical misunderstanding.</t>
        </is>
      </c>
      <c r="F13" s="9" t="inlineStr">
        <is>
          <t>Team lead + Tech lead + Tester + Doctor</t>
        </is>
      </c>
      <c r="G13" s="9" t="inlineStr">
        <is>
          <t>Observed user results; measured load/network report; restore/rollback evidence; retests.</t>
        </is>
      </c>
      <c r="H13" s="10" t="inlineStr">
        <is>
          <t>Pending</t>
        </is>
      </c>
      <c r="I13" s="10" t="str"/>
      <c r="J13" s="10" t="str"/>
      <c r="K13" s="9">
        <f>COUNTIF(Tasks!$C$7:$C$68,A13)</f>
        <v/>
      </c>
      <c r="L13" s="9">
        <f>SUMIF(Tasks!$C$7:$C$68,A13,Tasks!$Q$7:$Q$68)</f>
        <v/>
      </c>
      <c r="M13" s="26" t="inlineStr">
        <is>
          <t>F041–F042</t>
        </is>
      </c>
      <c r="N13" s="26" t="inlineStr">
        <is>
          <t>T021–T022</t>
        </is>
      </c>
    </row>
    <row r="14" ht="55" customHeight="1">
      <c r="A14" s="5" t="inlineStr">
        <is>
          <t>SG7</t>
        </is>
      </c>
      <c r="B14" s="5" t="n">
        <v>56</v>
      </c>
      <c r="C14" s="5" t="inlineStr">
        <is>
          <t>Pilot-deployable release</t>
        </is>
      </c>
      <c r="D14" s="5" t="inlineStr">
        <is>
          <t>Release candidate has complete evidence, operating owners and a reproducible deployment.</t>
        </is>
      </c>
      <c r="E14" s="5" t="inlineStr">
        <is>
          <t>AT01–AT32 pass for candidate or valid unchanged evidence; no critical/high defects; three separate sign-offs.</t>
        </is>
      </c>
      <c r="F14" s="5" t="inlineStr">
        <is>
          <t>Team lead + Tech lead + Doctor/Pediatric reviewer + Facility owner</t>
        </is>
      </c>
      <c r="G14" s="5" t="inlineStr">
        <is>
          <t>Release SHA; checks and approvals; runbooks; roster; rollout/rollback and cost limits.</t>
        </is>
      </c>
      <c r="H14" s="10" t="inlineStr">
        <is>
          <t>Pending</t>
        </is>
      </c>
      <c r="I14" s="10" t="str"/>
      <c r="J14" s="10" t="str"/>
      <c r="K14" s="5">
        <f>COUNTIF(Tasks!$C$7:$C$68,A14)</f>
        <v/>
      </c>
      <c r="L14" s="5">
        <f>SUMIF(Tasks!$C$7:$C$68,A14,Tasks!$Q$7:$Q$68)</f>
        <v/>
      </c>
      <c r="M14" s="27" t="inlineStr">
        <is>
          <t>F043</t>
        </is>
      </c>
      <c r="N14" s="27" t="inlineStr">
        <is>
          <t>T023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</sheetData>
  <conditionalFormatting sqref="H7:H14">
    <cfRule type="containsText" priority="1" operator="containsText" dxfId="0" text="Hold"/>
  </conditionalFormatting>
  <conditionalFormatting sqref="A7:L14">
    <cfRule type="expression" priority="2" dxfId="1">
      <formula>AND($H7="Pass",OR($I7="",$J7=""))</formula>
    </cfRule>
  </conditionalFormatting>
  <dataValidations count="1">
    <dataValidation sqref="H7:H14" showDropDown="0" showInputMessage="0" showErrorMessage="0" allowBlank="0" type="list">
      <formula1>"Pending,Pass,Conditional,Hold"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17" customWidth="1" min="4" max="4"/>
    <col width="11" customWidth="1" min="5" max="5"/>
    <col width="39" customWidth="1" min="6" max="6"/>
    <col width="25" customWidth="1" min="7" max="7"/>
    <col width="22" customWidth="1" min="8" max="8"/>
    <col width="58" customWidth="1" min="9" max="9"/>
    <col width="22" customWidth="1" min="10" max="10"/>
    <col width="16" customWidth="1" min="11" max="11"/>
    <col width="28" customWidth="1" min="12" max="12"/>
    <col width="17" customWidth="1" min="13" max="13"/>
    <col width="12" customWidth="1" min="14" max="14"/>
    <col width="24" customWidth="1" min="15" max="15"/>
    <col width="20" customWidth="1" min="16" max="16"/>
    <col width="14" customWidth="1" min="17" max="17"/>
    <col width="75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MatriSathi task backlog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3" t="inlineStr">
        <is>
          <t>Version 1.0 | Estimates in hours. Issues/PRs own daily status; refresh this snapshot weekly.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9" t="inlineStr">
        <is>
          <t>F IDs are detailed in Functional Specs; T IDs in Technical Specs. Filter by Gate or linked task. Existing hours and status fields are unchanged.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34" customHeight="1">
      <c r="A6" s="8" t="inlineStr">
        <is>
          <t>ID</t>
        </is>
      </c>
      <c r="B6" s="8" t="inlineStr">
        <is>
          <t>Week</t>
        </is>
      </c>
      <c r="C6" s="8" t="inlineStr">
        <is>
          <t>Gate</t>
        </is>
      </c>
      <c r="D6" s="8" t="inlineStr">
        <is>
          <t>Owner</t>
        </is>
      </c>
      <c r="E6" s="8" t="inlineStr">
        <is>
          <t>Est. hours</t>
        </is>
      </c>
      <c r="F6" s="8" t="inlineStr">
        <is>
          <t>Task</t>
        </is>
      </c>
      <c r="G6" s="8" t="inlineStr">
        <is>
          <t>Dependencies</t>
        </is>
      </c>
      <c r="H6" s="8" t="inlineStr">
        <is>
          <t>Requirements</t>
        </is>
      </c>
      <c r="I6" s="8" t="inlineStr">
        <is>
          <t>Acceptance / evidence needed</t>
        </is>
      </c>
      <c r="J6" s="8" t="inlineStr">
        <is>
          <t>Reviewer</t>
        </is>
      </c>
      <c r="K6" s="8" t="inlineStr">
        <is>
          <t>Status</t>
        </is>
      </c>
      <c r="L6" s="8" t="inlineStr">
        <is>
          <t>Evidence link</t>
        </is>
      </c>
      <c r="M6" s="8" t="inlineStr">
        <is>
          <t>Review result</t>
        </is>
      </c>
      <c r="N6" s="8" t="inlineStr">
        <is>
          <t>Actual hours</t>
        </is>
      </c>
      <c r="O6" s="8" t="inlineStr">
        <is>
          <t>Issue / PR</t>
        </is>
      </c>
      <c r="P6" s="8" t="inlineStr">
        <is>
          <t>Actual reviewer</t>
        </is>
      </c>
      <c r="Q6" s="8" t="inlineStr">
        <is>
          <t>Verified done</t>
        </is>
      </c>
      <c r="R6" s="29" t="inlineStr">
        <is>
          <t>Detailed spec IDs</t>
        </is>
      </c>
    </row>
    <row r="7" ht="40" customHeight="1">
      <c r="A7" s="9" t="inlineStr">
        <is>
          <t>M001</t>
        </is>
      </c>
      <c r="B7" s="9" t="n">
        <v>1</v>
      </c>
      <c r="C7" s="9" t="inlineStr">
        <is>
          <t>SG0</t>
        </is>
      </c>
      <c r="D7" s="9" t="inlineStr">
        <is>
          <t>Team lead</t>
        </is>
      </c>
      <c r="E7" s="30" t="n">
        <v>3</v>
      </c>
      <c r="F7" s="9" t="inlineStr">
        <is>
          <t>Confirm baseline, capacity and pilot setting</t>
        </is>
      </c>
      <c r="G7" s="9" t="inlineStr">
        <is>
          <t>None</t>
        </is>
      </c>
      <c r="H7" s="9" t="inlineStr">
        <is>
          <t>R09 R11 R12</t>
        </is>
      </c>
      <c r="I7" s="9" t="inlineStr">
        <is>
          <t>Named owners; exact developer hours; two settings and language selected; amendments accepted.</t>
        </is>
      </c>
      <c r="J7" s="9" t="inlineStr">
        <is>
          <t>Tech lead</t>
        </is>
      </c>
      <c r="K7" s="10" t="inlineStr">
        <is>
          <t>Not started</t>
        </is>
      </c>
      <c r="L7" s="10" t="str"/>
      <c r="M7" s="10" t="inlineStr">
        <is>
          <t>Pending</t>
        </is>
      </c>
      <c r="N7" s="31" t="n"/>
      <c r="O7" s="10" t="str"/>
      <c r="P7" s="10" t="str"/>
      <c r="Q7" s="9">
        <f>IF(AND(K7="Done",M7="Accepted",LEN(L7)&gt;0,LEN(P7)&gt;0),1,0)</f>
        <v/>
      </c>
      <c r="R7" s="26" t="inlineStr">
        <is>
          <t>F001, T001</t>
        </is>
      </c>
    </row>
    <row r="8" ht="40" customHeight="1">
      <c r="A8" s="5" t="inlineStr">
        <is>
          <t>M002</t>
        </is>
      </c>
      <c r="B8" s="5" t="n">
        <v>1</v>
      </c>
      <c r="C8" s="5" t="inlineStr">
        <is>
          <t>SG0</t>
        </is>
      </c>
      <c r="D8" s="5" t="inlineStr">
        <is>
          <t>Tech lead</t>
        </is>
      </c>
      <c r="E8" s="32" t="n">
        <v>2</v>
      </c>
      <c r="F8" s="5" t="inlineStr">
        <is>
          <t>Shared repository and engineering agreement</t>
        </is>
      </c>
      <c r="G8" s="5" t="inlineStr">
        <is>
          <t>M001</t>
        </is>
      </c>
      <c r="H8" s="5" t="inlineStr">
        <is>
          <t>R09 R10</t>
        </is>
      </c>
      <c r="I8" s="5" t="inlineStr">
        <is>
          <t>Correct remote; protected-main proposal; task branches and approvals documented; secrets ignored.</t>
        </is>
      </c>
      <c r="J8" s="5" t="inlineStr">
        <is>
          <t>Team lead</t>
        </is>
      </c>
      <c r="K8" s="10" t="inlineStr">
        <is>
          <t>Not started</t>
        </is>
      </c>
      <c r="L8" s="10" t="str"/>
      <c r="M8" s="10" t="inlineStr">
        <is>
          <t>Pending</t>
        </is>
      </c>
      <c r="N8" s="31" t="n"/>
      <c r="O8" s="10" t="str"/>
      <c r="P8" s="10" t="str"/>
      <c r="Q8" s="5">
        <f>IF(AND(K8="Done",M8="Accepted",LEN(L8)&gt;0,LEN(P8)&gt;0),1,0)</f>
        <v/>
      </c>
      <c r="R8" s="27" t="inlineStr">
        <is>
          <t>F001, T001, T007</t>
        </is>
      </c>
    </row>
    <row r="9" ht="55" customHeight="1">
      <c r="A9" s="9" t="inlineStr">
        <is>
          <t>M003</t>
        </is>
      </c>
      <c r="B9" s="9" t="n">
        <v>1</v>
      </c>
      <c r="C9" s="9" t="inlineStr">
        <is>
          <t>SG1</t>
        </is>
      </c>
      <c r="D9" s="9" t="inlineStr">
        <is>
          <t>Tech lead</t>
        </is>
      </c>
      <c r="E9" s="30" t="n">
        <v>6</v>
      </c>
      <c r="F9" s="9" t="inlineStr">
        <is>
          <t>Review identity, auth, tenant and audit design</t>
        </is>
      </c>
      <c r="G9" s="9" t="inlineStr">
        <is>
          <t>M002</t>
        </is>
      </c>
      <c r="H9" s="9" t="inlineStr">
        <is>
          <t>R02 R07</t>
        </is>
      </c>
      <c r="I9" s="9" t="inlineStr">
        <is>
          <t>Unique staff login, org authority, session revocation and DB-role boundaries specified; AT01–AT04 design approved.</t>
        </is>
      </c>
      <c r="J9" s="9" t="inlineStr">
        <is>
          <t>Team lead</t>
        </is>
      </c>
      <c r="K9" s="10" t="inlineStr">
        <is>
          <t>Not started</t>
        </is>
      </c>
      <c r="L9" s="10" t="str"/>
      <c r="M9" s="10" t="inlineStr">
        <is>
          <t>Pending</t>
        </is>
      </c>
      <c r="N9" s="31" t="n"/>
      <c r="O9" s="10" t="str"/>
      <c r="P9" s="10" t="str"/>
      <c r="Q9" s="9">
        <f>IF(AND(K9="Done",M9="Accepted",LEN(L9)&gt;0,LEN(P9)&gt;0),1,0)</f>
        <v/>
      </c>
      <c r="R9" s="26" t="inlineStr">
        <is>
          <t>F003, F004, T002, T003, T004, T005, T006</t>
        </is>
      </c>
    </row>
    <row r="10" ht="40" customHeight="1">
      <c r="A10" s="5" t="inlineStr">
        <is>
          <t>M004</t>
        </is>
      </c>
      <c r="B10" s="5" t="n">
        <v>1</v>
      </c>
      <c r="C10" s="5" t="inlineStr">
        <is>
          <t>SG1</t>
        </is>
      </c>
      <c r="D10" s="5" t="inlineStr">
        <is>
          <t>Developer</t>
        </is>
      </c>
      <c r="E10" s="32" t="n">
        <v>7</v>
      </c>
      <c r="F10" s="5" t="inlineStr">
        <is>
          <t>Scaffold API, database and first migration</t>
        </is>
      </c>
      <c r="G10" s="5" t="inlineStr">
        <is>
          <t>M002</t>
        </is>
      </c>
      <c r="H10" s="5" t="inlineStr">
        <is>
          <t>R02 R09</t>
        </is>
      </c>
      <c r="I10" s="5" t="inlineStr">
        <is>
          <t>Clean local setup; Organization/Facility/Membership/Person/Contact/Episode migrations work.</t>
        </is>
      </c>
      <c r="J10" s="5" t="inlineStr">
        <is>
          <t>Tech lead</t>
        </is>
      </c>
      <c r="K10" s="10" t="inlineStr">
        <is>
          <t>Review</t>
        </is>
      </c>
      <c r="L10" s="10" t="inlineStr">
        <is>
          <t>docs/delivery/evidence/SG1/report.md</t>
        </is>
      </c>
      <c r="M10" s="10" t="inlineStr">
        <is>
          <t>Pending</t>
        </is>
      </c>
      <c r="N10" s="31" t="n"/>
      <c r="O10" s="10" t="str"/>
      <c r="P10" s="10" t="str"/>
      <c r="Q10" s="5">
        <f>IF(AND(K10="Done",M10="Accepted",LEN(L10)&gt;0,LEN(P10)&gt;0),1,0)</f>
        <v/>
      </c>
      <c r="R10" s="27" t="inlineStr">
        <is>
          <t>F002, T001, T002, T003, T007</t>
        </is>
      </c>
    </row>
    <row r="11" ht="40" customHeight="1">
      <c r="A11" s="9" t="inlineStr">
        <is>
          <t>M005</t>
        </is>
      </c>
      <c r="B11" s="9" t="n">
        <v>1</v>
      </c>
      <c r="C11" s="9" t="inlineStr">
        <is>
          <t>SG1</t>
        </is>
      </c>
      <c r="D11" s="9" t="inlineStr">
        <is>
          <t>Developer</t>
        </is>
      </c>
      <c r="E11" s="30" t="n">
        <v>8</v>
      </c>
      <c r="F11" s="9" t="inlineStr">
        <is>
          <t>Implement staff login and scoped identity endpoints</t>
        </is>
      </c>
      <c r="G11" s="9" t="inlineStr">
        <is>
          <t>M003 M004</t>
        </is>
      </c>
      <c r="H11" s="9" t="inlineStr">
        <is>
          <t>R02 R07</t>
        </is>
      </c>
      <c r="I11" s="9" t="inlineStr">
        <is>
          <t>AT01–AT04 pass including existing-person link denial and restricted audit writes.</t>
        </is>
      </c>
      <c r="J11" s="9" t="inlineStr">
        <is>
          <t>Tech lead</t>
        </is>
      </c>
      <c r="K11" s="10" t="inlineStr">
        <is>
          <t>Review</t>
        </is>
      </c>
      <c r="L11" s="10" t="inlineStr">
        <is>
          <t>docs/delivery/evidence/SG1/report.md</t>
        </is>
      </c>
      <c r="M11" s="10" t="inlineStr">
        <is>
          <t>Pending</t>
        </is>
      </c>
      <c r="N11" s="31" t="n"/>
      <c r="O11" s="10" t="str"/>
      <c r="P11" s="10" t="str"/>
      <c r="Q11" s="9">
        <f>IF(AND(K11="Done",M11="Accepted",LEN(L11)&gt;0,LEN(P11)&gt;0),1,0)</f>
        <v/>
      </c>
      <c r="R11" s="26" t="inlineStr">
        <is>
          <t>F002, F003, F004, F037, T002, T003, T004, T005, T006</t>
        </is>
      </c>
    </row>
    <row r="12" ht="40" customHeight="1">
      <c r="A12" s="5" t="inlineStr">
        <is>
          <t>M006</t>
        </is>
      </c>
      <c r="B12" s="5" t="n">
        <v>1</v>
      </c>
      <c r="C12" s="5" t="inlineStr">
        <is>
          <t>SG1</t>
        </is>
      </c>
      <c r="D12" s="5" t="inlineStr">
        <is>
          <t>Developer</t>
        </is>
      </c>
      <c r="E12" s="32" t="n">
        <v>7</v>
      </c>
      <c r="F12" s="5" t="inlineStr">
        <is>
          <t>Build registration UI and continuous checks</t>
        </is>
      </c>
      <c r="G12" s="5" t="inlineStr">
        <is>
          <t>M005</t>
        </is>
      </c>
      <c r="H12" s="5" t="inlineStr">
        <is>
          <t>R09 R10</t>
        </is>
      </c>
      <c r="I12" s="5" t="inlineStr">
        <is>
          <t>Browser login/register/create/view works; CI configured and run after authorized push; AT05 pass.</t>
        </is>
      </c>
      <c r="J12" s="5" t="inlineStr">
        <is>
          <t>Tech lead</t>
        </is>
      </c>
      <c r="K12" s="10" t="inlineStr">
        <is>
          <t>Review</t>
        </is>
      </c>
      <c r="L12" s="10" t="inlineStr">
        <is>
          <t>docs/delivery/evidence/SG1/report.md</t>
        </is>
      </c>
      <c r="M12" s="10" t="inlineStr">
        <is>
          <t>Pending</t>
        </is>
      </c>
      <c r="N12" s="31" t="n"/>
      <c r="O12" s="10" t="str"/>
      <c r="P12" s="10" t="str"/>
      <c r="Q12" s="5">
        <f>IF(AND(K12="Done",M12="Accepted",LEN(L12)&gt;0,LEN(P12)&gt;0),1,0)</f>
        <v/>
      </c>
      <c r="R12" s="27" t="inlineStr">
        <is>
          <t>F002, F003, T001, T007</t>
        </is>
      </c>
    </row>
    <row r="13" ht="55" customHeight="1">
      <c r="A13" s="9" t="inlineStr">
        <is>
          <t>M007</t>
        </is>
      </c>
      <c r="B13" s="9" t="n">
        <v>1</v>
      </c>
      <c r="C13" s="9" t="inlineStr">
        <is>
          <t>SG1</t>
        </is>
      </c>
      <c r="D13" s="9" t="inlineStr">
        <is>
          <t>Team lead</t>
        </is>
      </c>
      <c r="E13" s="30" t="n">
        <v>4</v>
      </c>
      <c r="F13" s="9" t="inlineStr">
        <is>
          <t>Coordinate reviewer, language and messaging onboarding</t>
        </is>
      </c>
      <c r="G13" s="9" t="inlineStr">
        <is>
          <t>M001</t>
        </is>
      </c>
      <c r="H13" s="9" t="inlineStr">
        <is>
          <t>R01 R06 R11</t>
        </is>
      </c>
      <c r="I13" s="9" t="inlineStr">
        <is>
          <t>Provider comparison assigned; staff test numbers and account owner ready; content responsibilities assigned.</t>
        </is>
      </c>
      <c r="J13" s="9" t="inlineStr">
        <is>
          <t>Doctor</t>
        </is>
      </c>
      <c r="K13" s="10" t="inlineStr">
        <is>
          <t>Not started</t>
        </is>
      </c>
      <c r="L13" s="10" t="str"/>
      <c r="M13" s="10" t="inlineStr">
        <is>
          <t>Pending</t>
        </is>
      </c>
      <c r="N13" s="31" t="n"/>
      <c r="O13" s="10" t="str"/>
      <c r="P13" s="10" t="str"/>
      <c r="Q13" s="9">
        <f>IF(AND(K13="Done",M13="Accepted",LEN(L13)&gt;0,LEN(P13)&gt;0),1,0)</f>
        <v/>
      </c>
      <c r="R13" s="26" t="inlineStr">
        <is>
          <t>F016</t>
        </is>
      </c>
    </row>
    <row r="14" ht="40" customHeight="1">
      <c r="A14" s="5" t="inlineStr">
        <is>
          <t>M008</t>
        </is>
      </c>
      <c r="B14" s="5" t="n">
        <v>1</v>
      </c>
      <c r="C14" s="5" t="inlineStr">
        <is>
          <t>SG1</t>
        </is>
      </c>
      <c r="D14" s="5" t="inlineStr">
        <is>
          <t>Doctor</t>
        </is>
      </c>
      <c r="E14" s="32" t="n">
        <v>2</v>
      </c>
      <c r="F14" s="5" t="inlineStr">
        <is>
          <t>Validate intake, roles and journey coverage</t>
        </is>
      </c>
      <c r="G14" s="5" t="inlineStr">
        <is>
          <t>M001</t>
        </is>
      </c>
      <c r="H14" s="5" t="inlineStr">
        <is>
          <t>Stages 1–8 R02 R05</t>
        </is>
      </c>
      <c r="I14" s="5" t="inlineStr">
        <is>
          <t>Review notes identify required intake, role limits and pediatric reviewer.</t>
        </is>
      </c>
      <c r="J14" s="5" t="inlineStr">
        <is>
          <t>Team lead</t>
        </is>
      </c>
      <c r="K14" s="10" t="inlineStr">
        <is>
          <t>Not started</t>
        </is>
      </c>
      <c r="L14" s="10" t="str"/>
      <c r="M14" s="10" t="inlineStr">
        <is>
          <t>Pending</t>
        </is>
      </c>
      <c r="N14" s="31" t="n"/>
      <c r="O14" s="10" t="str"/>
      <c r="P14" s="10" t="str"/>
      <c r="Q14" s="5">
        <f>IF(AND(K14="Done",M14="Accepted",LEN(L14)&gt;0,LEN(P14)&gt;0),1,0)</f>
        <v/>
      </c>
      <c r="R14" s="27" t="inlineStr">
        <is>
          <t>F002, F004</t>
        </is>
      </c>
    </row>
    <row r="15" ht="40" customHeight="1">
      <c r="A15" s="9" t="inlineStr">
        <is>
          <t>M009</t>
        </is>
      </c>
      <c r="B15" s="9" t="n">
        <v>2</v>
      </c>
      <c r="C15" s="9" t="inlineStr">
        <is>
          <t>SG2</t>
        </is>
      </c>
      <c r="D15" s="9" t="inlineStr">
        <is>
          <t>Tech lead</t>
        </is>
      </c>
      <c r="E15" s="30" t="n">
        <v>5</v>
      </c>
      <c r="F15" s="9" t="inlineStr">
        <is>
          <t>Review plan/task states and private media controls</t>
        </is>
      </c>
      <c r="G15" s="9" t="inlineStr">
        <is>
          <t>M003</t>
        </is>
      </c>
      <c r="H15" s="9" t="inlineStr">
        <is>
          <t>R03 R05 R07</t>
        </is>
      </c>
      <c r="I15" s="9" t="inlineStr">
        <is>
          <t>State-specific permissions, versioned plan rules and private upload/download contract agreed.</t>
        </is>
      </c>
      <c r="J15" s="9" t="inlineStr">
        <is>
          <t>Doctor</t>
        </is>
      </c>
      <c r="K15" s="10" t="inlineStr">
        <is>
          <t>Not started</t>
        </is>
      </c>
      <c r="L15" s="10" t="str"/>
      <c r="M15" s="10" t="inlineStr">
        <is>
          <t>Pending</t>
        </is>
      </c>
      <c r="N15" s="31" t="n"/>
      <c r="O15" s="10" t="str"/>
      <c r="P15" s="10" t="str"/>
      <c r="Q15" s="9">
        <f>IF(AND(K15="Done",M15="Accepted",LEN(L15)&gt;0,LEN(P15)&gt;0),1,0)</f>
        <v/>
      </c>
      <c r="R15" s="26" t="inlineStr">
        <is>
          <t>F005, F007, F008, F009, T002, T008, T009</t>
        </is>
      </c>
    </row>
    <row r="16" ht="40" customHeight="1">
      <c r="A16" s="5" t="inlineStr">
        <is>
          <t>M010</t>
        </is>
      </c>
      <c r="B16" s="5" t="n">
        <v>2</v>
      </c>
      <c r="C16" s="5" t="inlineStr">
        <is>
          <t>SG2</t>
        </is>
      </c>
      <c r="D16" s="5" t="inlineStr">
        <is>
          <t>Tech lead</t>
        </is>
      </c>
      <c r="E16" s="32" t="n">
        <v>3</v>
      </c>
      <c r="F16" s="5" t="inlineStr">
        <is>
          <t>Approve patient/caregiver access mechanism</t>
        </is>
      </c>
      <c r="G16" s="5" t="inlineStr">
        <is>
          <t>M003</t>
        </is>
      </c>
      <c r="H16" s="5" t="inlineStr">
        <is>
          <t>R02 R07</t>
        </is>
      </c>
      <c r="I16" s="5" t="inlineStr">
        <is>
          <t>Shared-phone identity confirmation and revocation design reviewed; tests defined.</t>
        </is>
      </c>
      <c r="J16" s="5" t="inlineStr">
        <is>
          <t>Team lead</t>
        </is>
      </c>
      <c r="K16" s="10" t="inlineStr">
        <is>
          <t>Not started</t>
        </is>
      </c>
      <c r="L16" s="10" t="str"/>
      <c r="M16" s="10" t="inlineStr">
        <is>
          <t>Pending</t>
        </is>
      </c>
      <c r="N16" s="31" t="n"/>
      <c r="O16" s="10" t="str"/>
      <c r="P16" s="10" t="str"/>
      <c r="Q16" s="5">
        <f>IF(AND(K16="Done",M16="Accepted",LEN(L16)&gt;0,LEN(P16)&gt;0),1,0)</f>
        <v/>
      </c>
      <c r="R16" s="27" t="inlineStr">
        <is>
          <t>F015, T005, T010</t>
        </is>
      </c>
    </row>
    <row r="17" ht="40" customHeight="1">
      <c r="A17" s="9" t="inlineStr">
        <is>
          <t>M011</t>
        </is>
      </c>
      <c r="B17" s="9" t="n">
        <v>2</v>
      </c>
      <c r="C17" s="9" t="inlineStr">
        <is>
          <t>SG2</t>
        </is>
      </c>
      <c r="D17" s="9" t="inlineStr">
        <is>
          <t>Developer</t>
        </is>
      </c>
      <c r="E17" s="30" t="n">
        <v>8</v>
      </c>
      <c r="F17" s="9" t="inlineStr">
        <is>
          <t>ANC plan, appointments and owned tasks</t>
        </is>
      </c>
      <c r="G17" s="9" t="inlineStr">
        <is>
          <t>M005 M009</t>
        </is>
      </c>
      <c r="H17" s="9" t="inlineStr">
        <is>
          <t>Stages 1–3 R03 R05</t>
        </is>
      </c>
      <c r="I17" s="9" t="inlineStr">
        <is>
          <t>AT06 AT07 pass; next action and missed/rescheduled appointment demo works.</t>
        </is>
      </c>
      <c r="J17" s="9" t="inlineStr">
        <is>
          <t>Tech lead</t>
        </is>
      </c>
      <c r="K17" s="10" t="inlineStr">
        <is>
          <t>Not started</t>
        </is>
      </c>
      <c r="L17" s="10" t="str"/>
      <c r="M17" s="10" t="inlineStr">
        <is>
          <t>Pending</t>
        </is>
      </c>
      <c r="N17" s="31" t="n"/>
      <c r="O17" s="10" t="str"/>
      <c r="P17" s="10" t="str"/>
      <c r="Q17" s="9">
        <f>IF(AND(K17="Done",M17="Accepted",LEN(L17)&gt;0,LEN(P17)&gt;0),1,0)</f>
        <v/>
      </c>
      <c r="R17" s="26" t="inlineStr">
        <is>
          <t>F005, F006, F007, F008, T008</t>
        </is>
      </c>
    </row>
    <row r="18" ht="40" customHeight="1">
      <c r="A18" s="5" t="inlineStr">
        <is>
          <t>M012</t>
        </is>
      </c>
      <c r="B18" s="5" t="n">
        <v>2</v>
      </c>
      <c r="C18" s="5" t="inlineStr">
        <is>
          <t>SG2</t>
        </is>
      </c>
      <c r="D18" s="5" t="inlineStr">
        <is>
          <t>Developer</t>
        </is>
      </c>
      <c r="E18" s="32" t="n">
        <v>8</v>
      </c>
      <c r="F18" s="5" t="inlineStr">
        <is>
          <t>Reports, prescriptions and referral tracking</t>
        </is>
      </c>
      <c r="G18" s="5" t="inlineStr">
        <is>
          <t>M009 M011</t>
        </is>
      </c>
      <c r="H18" s="5" t="inlineStr">
        <is>
          <t>Stage 2 R03 R07</t>
        </is>
      </c>
      <c r="I18" s="5" t="inlineStr">
        <is>
          <t>AT08 AT09 pass; original records retained; clinical review restricted.</t>
        </is>
      </c>
      <c r="J18" s="5" t="inlineStr">
        <is>
          <t>Tech lead</t>
        </is>
      </c>
      <c r="K18" s="10" t="inlineStr">
        <is>
          <t>Not started</t>
        </is>
      </c>
      <c r="L18" s="10" t="str"/>
      <c r="M18" s="10" t="inlineStr">
        <is>
          <t>Pending</t>
        </is>
      </c>
      <c r="N18" s="31" t="n"/>
      <c r="O18" s="10" t="str"/>
      <c r="P18" s="10" t="str"/>
      <c r="Q18" s="5">
        <f>IF(AND(K18="Done",M18="Accepted",LEN(L18)&gt;0,LEN(P18)&gt;0),1,0)</f>
        <v/>
      </c>
      <c r="R18" s="27" t="inlineStr">
        <is>
          <t>F009, F010, F011, F012, F044, T008, T009</t>
        </is>
      </c>
    </row>
    <row r="19" ht="40" customHeight="1">
      <c r="A19" s="9" t="inlineStr">
        <is>
          <t>M013</t>
        </is>
      </c>
      <c r="B19" s="9" t="n">
        <v>2</v>
      </c>
      <c r="C19" s="9" t="inlineStr">
        <is>
          <t>SG2</t>
        </is>
      </c>
      <c r="D19" s="9" t="inlineStr">
        <is>
          <t>Developer</t>
        </is>
      </c>
      <c r="E19" s="30" t="n">
        <v>7</v>
      </c>
      <c r="F19" s="9" t="inlineStr">
        <is>
          <t>Patient next-action view and birth-plan screen</t>
        </is>
      </c>
      <c r="G19" s="9" t="inlineStr">
        <is>
          <t>M010 M011</t>
        </is>
      </c>
      <c r="H19" s="9" t="inlineStr">
        <is>
          <t>Stage 3 R02 R06</t>
        </is>
      </c>
      <c r="I19" s="9" t="inlineStr">
        <is>
          <t>AT10 AT28 pass; caregiver revoke blocks access; no-phone route usable.</t>
        </is>
      </c>
      <c r="J19" s="9" t="inlineStr">
        <is>
          <t>Tech lead</t>
        </is>
      </c>
      <c r="K19" s="10" t="inlineStr">
        <is>
          <t>Not started</t>
        </is>
      </c>
      <c r="L19" s="10" t="str"/>
      <c r="M19" s="10" t="inlineStr">
        <is>
          <t>Pending</t>
        </is>
      </c>
      <c r="N19" s="31" t="n"/>
      <c r="O19" s="10" t="str"/>
      <c r="P19" s="10" t="str"/>
      <c r="Q19" s="9">
        <f>IF(AND(K19="Done",M19="Accepted",LEN(L19)&gt;0,LEN(P19)&gt;0),1,0)</f>
        <v/>
      </c>
      <c r="R19" s="26" t="inlineStr">
        <is>
          <t>F006, F013, F014, F015, F044, T010</t>
        </is>
      </c>
    </row>
    <row r="20" ht="40" customHeight="1">
      <c r="A20" s="5" t="inlineStr">
        <is>
          <t>M014</t>
        </is>
      </c>
      <c r="B20" s="5" t="n">
        <v>2</v>
      </c>
      <c r="C20" s="5" t="inlineStr">
        <is>
          <t>SG2</t>
        </is>
      </c>
      <c r="D20" s="5" t="inlineStr">
        <is>
          <t>Team lead</t>
        </is>
      </c>
      <c r="E20" s="32" t="n">
        <v>6</v>
      </c>
      <c r="F20" s="5" t="inlineStr">
        <is>
          <t>Secure channel approval and prepare clinical content</t>
        </is>
      </c>
      <c r="G20" s="5" t="inlineStr">
        <is>
          <t>M007</t>
        </is>
      </c>
      <c r="H20" s="5" t="inlineStr">
        <is>
          <t>R01 R06 R11</t>
        </is>
      </c>
      <c r="I20" s="5" t="inlineStr">
        <is>
          <t>Provider decision/budget and account/template submission recorded; scripts prepared for review.</t>
        </is>
      </c>
      <c r="J20" s="5" t="inlineStr">
        <is>
          <t>Doctor</t>
        </is>
      </c>
      <c r="K20" s="10" t="inlineStr">
        <is>
          <t>Not started</t>
        </is>
      </c>
      <c r="L20" s="10" t="str"/>
      <c r="M20" s="10" t="inlineStr">
        <is>
          <t>Pending</t>
        </is>
      </c>
      <c r="N20" s="31" t="n"/>
      <c r="O20" s="10" t="str"/>
      <c r="P20" s="10" t="str"/>
      <c r="Q20" s="5">
        <f>IF(AND(K20="Done",M20="Accepted",LEN(L20)&gt;0,LEN(P20)&gt;0),1,0)</f>
        <v/>
      </c>
      <c r="R20" s="27" t="inlineStr">
        <is>
          <t>F017</t>
        </is>
      </c>
    </row>
    <row r="21" ht="40" customHeight="1">
      <c r="A21" s="9" t="inlineStr">
        <is>
          <t>M015</t>
        </is>
      </c>
      <c r="B21" s="9" t="n">
        <v>2</v>
      </c>
      <c r="C21" s="9" t="inlineStr">
        <is>
          <t>SG2</t>
        </is>
      </c>
      <c r="D21" s="9" t="inlineStr">
        <is>
          <t>Doctor</t>
        </is>
      </c>
      <c r="E21" s="30" t="n">
        <v>2</v>
      </c>
      <c r="F21" s="9" t="inlineStr">
        <is>
          <t>Approve pilot ANC template and urgent wording</t>
        </is>
      </c>
      <c r="G21" s="9" t="inlineStr">
        <is>
          <t>M008 M011</t>
        </is>
      </c>
      <c r="H21" s="9" t="inlineStr">
        <is>
          <t>R05 R06</t>
        </is>
      </c>
      <c r="I21" s="9" t="inlineStr">
        <is>
          <t>Versioned schedule, birth contacts wording and role limits approved or corrections assigned.</t>
        </is>
      </c>
      <c r="J21" s="9" t="inlineStr">
        <is>
          <t>Team lead</t>
        </is>
      </c>
      <c r="K21" s="10" t="inlineStr">
        <is>
          <t>Not started</t>
        </is>
      </c>
      <c r="L21" s="10" t="str"/>
      <c r="M21" s="10" t="inlineStr">
        <is>
          <t>Pending</t>
        </is>
      </c>
      <c r="N21" s="31" t="n"/>
      <c r="O21" s="10" t="str"/>
      <c r="P21" s="10" t="str"/>
      <c r="Q21" s="9">
        <f>IF(AND(K21="Done",M21="Accepted",LEN(L21)&gt;0,LEN(P21)&gt;0),1,0)</f>
        <v/>
      </c>
      <c r="R21" s="26" t="inlineStr">
        <is>
          <t>F005, F012, F013, F014, F044</t>
        </is>
      </c>
    </row>
    <row r="22" ht="40" customHeight="1">
      <c r="A22" s="5" t="inlineStr">
        <is>
          <t>M016</t>
        </is>
      </c>
      <c r="B22" s="5" t="n">
        <v>2</v>
      </c>
      <c r="C22" s="5" t="inlineStr">
        <is>
          <t>SG2</t>
        </is>
      </c>
      <c r="D22" s="5" t="inlineStr">
        <is>
          <t>Tester</t>
        </is>
      </c>
      <c r="E22" s="32" t="n">
        <v>4</v>
      </c>
      <c r="F22" s="5" t="inlineStr">
        <is>
          <t>Test foundation and antenatal slice</t>
        </is>
      </c>
      <c r="G22" s="5" t="inlineStr">
        <is>
          <t>M006 M013</t>
        </is>
      </c>
      <c r="H22" s="5" t="inlineStr">
        <is>
          <t>AT01–AT10 AT28</t>
        </is>
      </c>
      <c r="I22" s="5" t="inlineStr">
        <is>
          <t>Repeatable synthetic cases; failures logged with reproduction and evidence.</t>
        </is>
      </c>
      <c r="J22" s="5" t="inlineStr">
        <is>
          <t>Tech lead</t>
        </is>
      </c>
      <c r="K22" s="10" t="inlineStr">
        <is>
          <t>Not started</t>
        </is>
      </c>
      <c r="L22" s="10" t="str"/>
      <c r="M22" s="10" t="inlineStr">
        <is>
          <t>Pending</t>
        </is>
      </c>
      <c r="N22" s="31" t="n"/>
      <c r="O22" s="10" t="str"/>
      <c r="P22" s="10" t="str"/>
      <c r="Q22" s="5">
        <f>IF(AND(K22="Done",M22="Accepted",LEN(L22)&gt;0,LEN(P22)&gt;0),1,0)</f>
        <v/>
      </c>
      <c r="R22" s="27" t="inlineStr">
        <is>
          <t>F007, F009, F011, F015</t>
        </is>
      </c>
    </row>
    <row r="23" ht="40" customHeight="1">
      <c r="A23" s="9" t="inlineStr">
        <is>
          <t>M017</t>
        </is>
      </c>
      <c r="B23" s="9" t="n">
        <v>3</v>
      </c>
      <c r="C23" s="9" t="inlineStr">
        <is>
          <t>SG3</t>
        </is>
      </c>
      <c r="D23" s="9" t="inlineStr">
        <is>
          <t>Tech lead</t>
        </is>
      </c>
      <c r="E23" s="30" t="n">
        <v>5</v>
      </c>
      <c r="F23" s="9" t="inlineStr">
        <is>
          <t>Channel adapter, webhook and outbox design review</t>
        </is>
      </c>
      <c r="G23" s="9" t="inlineStr">
        <is>
          <t>M014</t>
        </is>
      </c>
      <c r="H23" s="9" t="inlineStr">
        <is>
          <t>R01 R10</t>
        </is>
      </c>
      <c r="I23" s="9" t="inlineStr">
        <is>
          <t>Authenticated webhook, durable send, dedup/retry and ambiguous-send contracts agreed; failure cases specified.</t>
        </is>
      </c>
      <c r="J23" s="9" t="inlineStr">
        <is>
          <t>Team lead</t>
        </is>
      </c>
      <c r="K23" s="10" t="inlineStr">
        <is>
          <t>Not started</t>
        </is>
      </c>
      <c r="L23" s="10" t="str"/>
      <c r="M23" s="10" t="inlineStr">
        <is>
          <t>Pending</t>
        </is>
      </c>
      <c r="N23" s="31" t="n"/>
      <c r="O23" s="10" t="str"/>
      <c r="P23" s="10" t="str"/>
      <c r="Q23" s="9">
        <f>IF(AND(K23="Done",M23="Accepted",LEN(L23)&gt;0,LEN(P23)&gt;0),1,0)</f>
        <v/>
      </c>
      <c r="R23" s="26" t="inlineStr">
        <is>
          <t>F017, T011, T012</t>
        </is>
      </c>
    </row>
    <row r="24" ht="40" customHeight="1">
      <c r="A24" s="5" t="inlineStr">
        <is>
          <t>M018</t>
        </is>
      </c>
      <c r="B24" s="5" t="n">
        <v>3</v>
      </c>
      <c r="C24" s="5" t="inlineStr">
        <is>
          <t>SG3</t>
        </is>
      </c>
      <c r="D24" s="5" t="inlineStr">
        <is>
          <t>Tech lead</t>
        </is>
      </c>
      <c r="E24" s="32" t="n">
        <v>3</v>
      </c>
      <c r="F24" s="5" t="inlineStr">
        <is>
          <t>Review media/privacy and inbox access</t>
        </is>
      </c>
      <c r="G24" s="5" t="inlineStr">
        <is>
          <t>M017</t>
        </is>
      </c>
      <c r="H24" s="5" t="inlineStr">
        <is>
          <t>R01 R02 R07</t>
        </is>
      </c>
      <c r="I24" s="5" t="inlineStr">
        <is>
          <t>Restricted queue, logging, media limits and patient-link authorization designed; access tests specified.</t>
        </is>
      </c>
      <c r="J24" s="5" t="inlineStr">
        <is>
          <t>Team lead</t>
        </is>
      </c>
      <c r="K24" s="10" t="inlineStr">
        <is>
          <t>Not started</t>
        </is>
      </c>
      <c r="L24" s="10" t="str"/>
      <c r="M24" s="10" t="inlineStr">
        <is>
          <t>Pending</t>
        </is>
      </c>
      <c r="N24" s="31" t="n"/>
      <c r="O24" s="10" t="str"/>
      <c r="P24" s="10" t="str"/>
      <c r="Q24" s="5">
        <f>IF(AND(K24="Done",M24="Accepted",LEN(L24)&gt;0,LEN(P24)&gt;0),1,0)</f>
        <v/>
      </c>
      <c r="R24" s="27" t="inlineStr">
        <is>
          <t>F018, F019, T005, T009, T011, T013</t>
        </is>
      </c>
    </row>
    <row r="25" ht="40" customHeight="1">
      <c r="A25" s="9" t="inlineStr">
        <is>
          <t>M019</t>
        </is>
      </c>
      <c r="B25" s="9" t="n">
        <v>3</v>
      </c>
      <c r="C25" s="9" t="inlineStr">
        <is>
          <t>SG3</t>
        </is>
      </c>
      <c r="D25" s="9" t="inlineStr">
        <is>
          <t>Developer</t>
        </is>
      </c>
      <c r="E25" s="30" t="n">
        <v>8</v>
      </c>
      <c r="F25" s="9" t="inlineStr">
        <is>
          <t>Real WhatsApp outbound and callbacks</t>
        </is>
      </c>
      <c r="G25" s="9" t="inlineStr">
        <is>
          <t>M017</t>
        </is>
      </c>
      <c r="H25" s="9" t="inlineStr">
        <is>
          <t>R01 R10</t>
        </is>
      </c>
      <c r="I25" s="9" t="inlineStr">
        <is>
          <t>AT11 AT12 pass using staff numbers; delivered/failed/unknown remain distinct.</t>
        </is>
      </c>
      <c r="J25" s="9" t="inlineStr">
        <is>
          <t>Tech lead</t>
        </is>
      </c>
      <c r="K25" s="10" t="inlineStr">
        <is>
          <t>Not started</t>
        </is>
      </c>
      <c r="L25" s="10" t="str"/>
      <c r="M25" s="10" t="inlineStr">
        <is>
          <t>Pending</t>
        </is>
      </c>
      <c r="N25" s="31" t="n"/>
      <c r="O25" s="10" t="str"/>
      <c r="P25" s="10" t="str"/>
      <c r="Q25" s="9">
        <f>IF(AND(K25="Done",M25="Accepted",LEN(L25)&gt;0,LEN(P25)&gt;0),1,0)</f>
        <v/>
      </c>
      <c r="R25" s="26" t="inlineStr">
        <is>
          <t>F016, F017, T011, T012</t>
        </is>
      </c>
    </row>
    <row r="26" ht="40" customHeight="1">
      <c r="A26" s="5" t="inlineStr">
        <is>
          <t>M020</t>
        </is>
      </c>
      <c r="B26" s="5" t="n">
        <v>3</v>
      </c>
      <c r="C26" s="5" t="inlineStr">
        <is>
          <t>SG3</t>
        </is>
      </c>
      <c r="D26" s="5" t="inlineStr">
        <is>
          <t>Developer</t>
        </is>
      </c>
      <c r="E26" s="32" t="n">
        <v>8</v>
      </c>
      <c r="F26" s="5" t="inlineStr">
        <is>
          <t>Staff inbox for text, voice and photo</t>
        </is>
      </c>
      <c r="G26" s="5" t="inlineStr">
        <is>
          <t>M018 M019</t>
        </is>
      </c>
      <c r="H26" s="5" t="inlineStr">
        <is>
          <t>R01 R03</t>
        </is>
      </c>
      <c r="I26" s="5" t="inlineStr">
        <is>
          <t>AT13 pass; ownership, backup, original audio playback and manual linking demonstrated.</t>
        </is>
      </c>
      <c r="J26" s="5" t="inlineStr">
        <is>
          <t>Tech lead</t>
        </is>
      </c>
      <c r="K26" s="10" t="inlineStr">
        <is>
          <t>Not started</t>
        </is>
      </c>
      <c r="L26" s="10" t="str"/>
      <c r="M26" s="10" t="inlineStr">
        <is>
          <t>Pending</t>
        </is>
      </c>
      <c r="N26" s="31" t="n"/>
      <c r="O26" s="10" t="str"/>
      <c r="P26" s="10" t="str"/>
      <c r="Q26" s="5">
        <f>IF(AND(K26="Done",M26="Accepted",LEN(L26)&gt;0,LEN(P26)&gt;0),1,0)</f>
        <v/>
      </c>
      <c r="R26" s="27" t="inlineStr">
        <is>
          <t>F018, F019, T009, T011, T013</t>
        </is>
      </c>
    </row>
    <row r="27" ht="40" customHeight="1">
      <c r="A27" s="9" t="inlineStr">
        <is>
          <t>M021</t>
        </is>
      </c>
      <c r="B27" s="9" t="n">
        <v>3</v>
      </c>
      <c r="C27" s="9" t="inlineStr">
        <is>
          <t>SG3</t>
        </is>
      </c>
      <c r="D27" s="9" t="inlineStr">
        <is>
          <t>Developer</t>
        </is>
      </c>
      <c r="E27" s="30" t="n">
        <v>7</v>
      </c>
      <c r="F27" s="9" t="inlineStr">
        <is>
          <t>Approved audio, preferences and fallback</t>
        </is>
      </c>
      <c r="G27" s="9" t="inlineStr">
        <is>
          <t>M013 M019</t>
        </is>
      </c>
      <c r="H27" s="9" t="inlineStr">
        <is>
          <t>R01 R06</t>
        </is>
      </c>
      <c r="I27" s="9" t="inlineStr">
        <is>
          <t>AT14 pass; reviewed audio plays through web and permitted WhatsApp route; opt-out enforced.</t>
        </is>
      </c>
      <c r="J27" s="9" t="inlineStr">
        <is>
          <t>Doctor</t>
        </is>
      </c>
      <c r="K27" s="10" t="inlineStr">
        <is>
          <t>Not started</t>
        </is>
      </c>
      <c r="L27" s="10" t="str"/>
      <c r="M27" s="10" t="inlineStr">
        <is>
          <t>Pending</t>
        </is>
      </c>
      <c r="N27" s="31" t="n"/>
      <c r="O27" s="10" t="str"/>
      <c r="P27" s="10" t="str"/>
      <c r="Q27" s="9">
        <f>IF(AND(K27="Done",M27="Accepted",LEN(L27)&gt;0,LEN(P27)&gt;0),1,0)</f>
        <v/>
      </c>
      <c r="R27" s="26" t="inlineStr">
        <is>
          <t>F010, F016, F019, F020, T013</t>
        </is>
      </c>
    </row>
    <row r="28" ht="55" customHeight="1">
      <c r="A28" s="5" t="inlineStr">
        <is>
          <t>M022</t>
        </is>
      </c>
      <c r="B28" s="5" t="n">
        <v>3</v>
      </c>
      <c r="C28" s="5" t="inlineStr">
        <is>
          <t>SG3</t>
        </is>
      </c>
      <c r="D28" s="5" t="inlineStr">
        <is>
          <t>Team lead</t>
        </is>
      </c>
      <c r="E28" s="32" t="n">
        <v>6</v>
      </c>
      <c r="F28" s="5" t="inlineStr">
        <is>
          <t>Run messaging demonstration and support rehearsal</t>
        </is>
      </c>
      <c r="G28" s="5" t="inlineStr">
        <is>
          <t>M019 M020</t>
        </is>
      </c>
      <c r="H28" s="5" t="inlineStr">
        <is>
          <t>R01 R11</t>
        </is>
      </c>
      <c r="I28" s="5" t="inlineStr">
        <is>
          <t>Account costs, safe contact preferences and inbox response hours recorded; real channel evidence collected.</t>
        </is>
      </c>
      <c r="J28" s="5" t="inlineStr">
        <is>
          <t>Tech lead</t>
        </is>
      </c>
      <c r="K28" s="10" t="inlineStr">
        <is>
          <t>Not started</t>
        </is>
      </c>
      <c r="L28" s="10" t="str"/>
      <c r="M28" s="10" t="inlineStr">
        <is>
          <t>Pending</t>
        </is>
      </c>
      <c r="N28" s="31" t="n"/>
      <c r="O28" s="10" t="str"/>
      <c r="P28" s="10" t="str"/>
      <c r="Q28" s="5">
        <f>IF(AND(K28="Done",M28="Accepted",LEN(L28)&gt;0,LEN(P28)&gt;0),1,0)</f>
        <v/>
      </c>
      <c r="R28" s="27" t="inlineStr">
        <is>
          <t>F014, F016, T013</t>
        </is>
      </c>
    </row>
    <row r="29" ht="40" customHeight="1">
      <c r="A29" s="9" t="inlineStr">
        <is>
          <t>M023</t>
        </is>
      </c>
      <c r="B29" s="9" t="n">
        <v>3</v>
      </c>
      <c r="C29" s="9" t="inlineStr">
        <is>
          <t>SG3</t>
        </is>
      </c>
      <c r="D29" s="9" t="inlineStr">
        <is>
          <t>Doctor</t>
        </is>
      </c>
      <c r="E29" s="30" t="n">
        <v>2</v>
      </c>
      <c r="F29" s="9" t="inlineStr">
        <is>
          <t>Review audio/templates and clinical routing</t>
        </is>
      </c>
      <c r="G29" s="9" t="inlineStr">
        <is>
          <t>M015 M021</t>
        </is>
      </c>
      <c r="H29" s="9" t="inlineStr">
        <is>
          <t>R01 R06</t>
        </is>
      </c>
      <c r="I29" s="9" t="inlineStr">
        <is>
          <t>Initial audio batch and urgent route approved; no automated reassurance.</t>
        </is>
      </c>
      <c r="J29" s="9" t="inlineStr">
        <is>
          <t>Team lead</t>
        </is>
      </c>
      <c r="K29" s="10" t="inlineStr">
        <is>
          <t>Not started</t>
        </is>
      </c>
      <c r="L29" s="10" t="str"/>
      <c r="M29" s="10" t="inlineStr">
        <is>
          <t>Pending</t>
        </is>
      </c>
      <c r="N29" s="31" t="n"/>
      <c r="O29" s="10" t="str"/>
      <c r="P29" s="10" t="str"/>
      <c r="Q29" s="9">
        <f>IF(AND(K29="Done",M29="Accepted",LEN(L29)&gt;0,LEN(P29)&gt;0),1,0)</f>
        <v/>
      </c>
      <c r="R29" s="26" t="inlineStr">
        <is>
          <t>F020</t>
        </is>
      </c>
    </row>
    <row r="30" ht="40" customHeight="1">
      <c r="A30" s="5" t="inlineStr">
        <is>
          <t>M024</t>
        </is>
      </c>
      <c r="B30" s="5" t="n">
        <v>3</v>
      </c>
      <c r="C30" s="5" t="inlineStr">
        <is>
          <t>SG3</t>
        </is>
      </c>
      <c r="D30" s="5" t="inlineStr">
        <is>
          <t>Tester</t>
        </is>
      </c>
      <c r="E30" s="32" t="n">
        <v>4</v>
      </c>
      <c r="F30" s="5" t="inlineStr">
        <is>
          <t>Exercise real channel and failure paths</t>
        </is>
      </c>
      <c r="G30" s="5" t="inlineStr">
        <is>
          <t>M019 M020 M021</t>
        </is>
      </c>
      <c r="H30" s="5" t="inlineStr">
        <is>
          <t>AT11–AT14</t>
        </is>
      </c>
      <c r="I30" s="5" t="inlineStr">
        <is>
          <t>Duplicate webhook, failure, opt-out, shared-phone ambiguity and unsupported file tests recorded.</t>
        </is>
      </c>
      <c r="J30" s="5" t="inlineStr">
        <is>
          <t>Tech lead</t>
        </is>
      </c>
      <c r="K30" s="10" t="inlineStr">
        <is>
          <t>Not started</t>
        </is>
      </c>
      <c r="L30" s="10" t="str"/>
      <c r="M30" s="10" t="inlineStr">
        <is>
          <t>Pending</t>
        </is>
      </c>
      <c r="N30" s="31" t="n"/>
      <c r="O30" s="10" t="str"/>
      <c r="P30" s="10" t="str"/>
      <c r="Q30" s="5">
        <f>IF(AND(K30="Done",M30="Accepted",LEN(L30)&gt;0,LEN(P30)&gt;0),1,0)</f>
        <v/>
      </c>
      <c r="R30" s="27" t="inlineStr">
        <is>
          <t>F017, F018, T011</t>
        </is>
      </c>
    </row>
    <row r="31" ht="40" customHeight="1">
      <c r="A31" s="9" t="inlineStr">
        <is>
          <t>M025</t>
        </is>
      </c>
      <c r="B31" s="9" t="n">
        <v>4</v>
      </c>
      <c r="C31" s="9" t="inlineStr">
        <is>
          <t>SG4</t>
        </is>
      </c>
      <c r="D31" s="9" t="inlineStr">
        <is>
          <t>Tech lead</t>
        </is>
      </c>
      <c r="E31" s="30" t="n">
        <v>5</v>
      </c>
      <c r="F31" s="9" t="inlineStr">
        <is>
          <t>Review birth/outcome and child data integrity</t>
        </is>
      </c>
      <c r="G31" s="9" t="inlineStr">
        <is>
          <t>M003</t>
        </is>
      </c>
      <c r="H31" s="9" t="inlineStr">
        <is>
          <t>Stages 4–6 R02 R04</t>
        </is>
      </c>
      <c r="I31" s="9" t="inlineStr">
        <is>
          <t>Per-child outcomes; unknown history; independent maternal/child lifecycle and constraints agreed.</t>
        </is>
      </c>
      <c r="J31" s="9" t="inlineStr">
        <is>
          <t>Pediatric reviewer</t>
        </is>
      </c>
      <c r="K31" s="10" t="inlineStr">
        <is>
          <t>Not started</t>
        </is>
      </c>
      <c r="L31" s="10" t="str"/>
      <c r="M31" s="10" t="inlineStr">
        <is>
          <t>Pending</t>
        </is>
      </c>
      <c r="N31" s="31" t="n"/>
      <c r="O31" s="10" t="str"/>
      <c r="P31" s="10" t="str"/>
      <c r="Q31" s="9">
        <f>IF(AND(K31="Done",M31="Accepted",LEN(L31)&gt;0,LEN(P31)&gt;0),1,0)</f>
        <v/>
      </c>
      <c r="R31" s="26" t="inlineStr">
        <is>
          <t>F021, F022, T014</t>
        </is>
      </c>
    </row>
    <row r="32" ht="40" customHeight="1">
      <c r="A32" s="5" t="inlineStr">
        <is>
          <t>M026</t>
        </is>
      </c>
      <c r="B32" s="5" t="n">
        <v>4</v>
      </c>
      <c r="C32" s="5" t="inlineStr">
        <is>
          <t>SG4</t>
        </is>
      </c>
      <c r="D32" s="5" t="inlineStr">
        <is>
          <t>Tech lead</t>
        </is>
      </c>
      <c r="E32" s="32" t="n">
        <v>4</v>
      </c>
      <c r="F32" s="5" t="inlineStr">
        <is>
          <t>Design message pause and transfer concurrency</t>
        </is>
      </c>
      <c r="G32" s="5" t="inlineStr">
        <is>
          <t>M017 M025</t>
        </is>
      </c>
      <c r="H32" s="5" t="inlineStr">
        <is>
          <t>R04 R10</t>
        </is>
      </c>
      <c r="I32" s="5" t="inlineStr">
        <is>
          <t>Send-time pause, in-flight limits, ownership handover and sibling separation specified for AT17/AT18.</t>
        </is>
      </c>
      <c r="J32" s="5" t="inlineStr">
        <is>
          <t>Doctor</t>
        </is>
      </c>
      <c r="K32" s="10" t="inlineStr">
        <is>
          <t>Not started</t>
        </is>
      </c>
      <c r="L32" s="10" t="str"/>
      <c r="M32" s="10" t="inlineStr">
        <is>
          <t>Pending</t>
        </is>
      </c>
      <c r="N32" s="31" t="n"/>
      <c r="O32" s="10" t="str"/>
      <c r="P32" s="10" t="str"/>
      <c r="Q32" s="5">
        <f>IF(AND(K32="Done",M32="Accepted",LEN(L32)&gt;0,LEN(P32)&gt;0),1,0)</f>
        <v/>
      </c>
      <c r="R32" s="27" t="inlineStr">
        <is>
          <t>F026, F027, T015</t>
        </is>
      </c>
    </row>
    <row r="33" ht="40" customHeight="1">
      <c r="A33" s="9" t="inlineStr">
        <is>
          <t>M027</t>
        </is>
      </c>
      <c r="B33" s="9" t="n">
        <v>4</v>
      </c>
      <c r="C33" s="9" t="inlineStr">
        <is>
          <t>SG4</t>
        </is>
      </c>
      <c r="D33" s="9" t="inlineStr">
        <is>
          <t>Developer</t>
        </is>
      </c>
      <c r="E33" s="30" t="n">
        <v>8</v>
      </c>
      <c r="F33" s="9" t="inlineStr">
        <is>
          <t>Birth, child linking and separate discharge</t>
        </is>
      </c>
      <c r="G33" s="9" t="inlineStr">
        <is>
          <t>M025</t>
        </is>
      </c>
      <c r="H33" s="9" t="inlineStr">
        <is>
          <t>Stages 4–5 R02 R04</t>
        </is>
      </c>
      <c r="I33" s="9" t="inlineStr">
        <is>
          <t>AT15 AT16 AT29 pass; twins and existing child with incomplete pregnancy history work.</t>
        </is>
      </c>
      <c r="J33" s="9" t="inlineStr">
        <is>
          <t>Tech lead</t>
        </is>
      </c>
      <c r="K33" s="10" t="inlineStr">
        <is>
          <t>Not started</t>
        </is>
      </c>
      <c r="L33" s="10" t="str"/>
      <c r="M33" s="10" t="inlineStr">
        <is>
          <t>Pending</t>
        </is>
      </c>
      <c r="N33" s="31" t="n"/>
      <c r="O33" s="10" t="str"/>
      <c r="P33" s="10" t="str"/>
      <c r="Q33" s="9">
        <f>IF(AND(K33="Done",M33="Accepted",LEN(L33)&gt;0,LEN(P33)&gt;0),1,0)</f>
        <v/>
      </c>
      <c r="R33" s="26" t="inlineStr">
        <is>
          <t>F021, F022, F023, T014</t>
        </is>
      </c>
    </row>
    <row r="34" ht="40" customHeight="1">
      <c r="A34" s="5" t="inlineStr">
        <is>
          <t>M028</t>
        </is>
      </c>
      <c r="B34" s="5" t="n">
        <v>4</v>
      </c>
      <c r="C34" s="5" t="inlineStr">
        <is>
          <t>SG4</t>
        </is>
      </c>
      <c r="D34" s="5" t="inlineStr">
        <is>
          <t>Developer</t>
        </is>
      </c>
      <c r="E34" s="32" t="n">
        <v>8</v>
      </c>
      <c r="F34" s="5" t="inlineStr">
        <is>
          <t>Loss pause, transfer and readmission</t>
        </is>
      </c>
      <c r="G34" s="5" t="inlineStr">
        <is>
          <t>M026 M027</t>
        </is>
      </c>
      <c r="H34" s="5" t="inlineStr">
        <is>
          <t>R04</t>
        </is>
      </c>
      <c r="I34" s="5" t="inlineStr">
        <is>
          <t>AT17 AT18 pass; maternal support retained; unresolved tasks have receiving owner.</t>
        </is>
      </c>
      <c r="J34" s="5" t="inlineStr">
        <is>
          <t>Tech lead</t>
        </is>
      </c>
      <c r="K34" s="10" t="inlineStr">
        <is>
          <t>Not started</t>
        </is>
      </c>
      <c r="L34" s="10" t="str"/>
      <c r="M34" s="10" t="inlineStr">
        <is>
          <t>Pending</t>
        </is>
      </c>
      <c r="N34" s="31" t="n"/>
      <c r="O34" s="10" t="str"/>
      <c r="P34" s="10" t="str"/>
      <c r="Q34" s="5">
        <f>IF(AND(K34="Done",M34="Accepted",LEN(L34)&gt;0,LEN(P34)&gt;0),1,0)</f>
        <v/>
      </c>
      <c r="R34" s="27" t="inlineStr">
        <is>
          <t>F011, F026, F027, F028, T015</t>
        </is>
      </c>
    </row>
    <row r="35" ht="40" customHeight="1">
      <c r="A35" s="9" t="inlineStr">
        <is>
          <t>M029</t>
        </is>
      </c>
      <c r="B35" s="9" t="n">
        <v>4</v>
      </c>
      <c r="C35" s="9" t="inlineStr">
        <is>
          <t>SG4</t>
        </is>
      </c>
      <c r="D35" s="9" t="inlineStr">
        <is>
          <t>Developer</t>
        </is>
      </c>
      <c r="E35" s="30" t="n">
        <v>6</v>
      </c>
      <c r="F35" s="9" t="inlineStr">
        <is>
          <t>Postpartum and newborn follow-up views</t>
        </is>
      </c>
      <c r="G35" s="9" t="inlineStr">
        <is>
          <t>M011 M027</t>
        </is>
      </c>
      <c r="H35" s="9" t="inlineStr">
        <is>
          <t>Stage 6 R03 R05</t>
        </is>
      </c>
      <c r="I35" s="9" t="inlineStr">
        <is>
          <t>Separate plans, missed-contact work and sensitive concern routing demonstrate correctly.</t>
        </is>
      </c>
      <c r="J35" s="9" t="inlineStr">
        <is>
          <t>Doctor</t>
        </is>
      </c>
      <c r="K35" s="10" t="inlineStr">
        <is>
          <t>Not started</t>
        </is>
      </c>
      <c r="L35" s="10" t="str"/>
      <c r="M35" s="10" t="inlineStr">
        <is>
          <t>Pending</t>
        </is>
      </c>
      <c r="N35" s="31" t="n"/>
      <c r="O35" s="10" t="str"/>
      <c r="P35" s="10" t="str"/>
      <c r="Q35" s="9">
        <f>IF(AND(K35="Done",M35="Accepted",LEN(L35)&gt;0,LEN(P35)&gt;0),1,0)</f>
        <v/>
      </c>
      <c r="R35" s="26" t="inlineStr">
        <is>
          <t>F008, F023, F024, F025, F028, T014</t>
        </is>
      </c>
    </row>
    <row r="36" ht="40" customHeight="1">
      <c r="A36" s="5" t="inlineStr">
        <is>
          <t>M030</t>
        </is>
      </c>
      <c r="B36" s="5" t="n">
        <v>4</v>
      </c>
      <c r="C36" s="5" t="inlineStr">
        <is>
          <t>SG4</t>
        </is>
      </c>
      <c r="D36" s="5" t="inlineStr">
        <is>
          <t>Team lead</t>
        </is>
      </c>
      <c r="E36" s="32" t="n">
        <v>6</v>
      </c>
      <c r="F36" s="5" t="inlineStr">
        <is>
          <t>Prepare rural and semi-urban scenarios</t>
        </is>
      </c>
      <c r="G36" s="5" t="inlineStr">
        <is>
          <t>M022</t>
        </is>
      </c>
      <c r="H36" s="5" t="inlineStr">
        <is>
          <t>R11 R12</t>
        </is>
      </c>
      <c r="I36" s="5" t="inlineStr">
        <is>
          <t>Facility staff and representative users scheduled; synthetic scenarios and feedback register ready.</t>
        </is>
      </c>
      <c r="J36" s="5" t="inlineStr">
        <is>
          <t>Doctor</t>
        </is>
      </c>
      <c r="K36" s="10" t="inlineStr">
        <is>
          <t>Not started</t>
        </is>
      </c>
      <c r="L36" s="10" t="str"/>
      <c r="M36" s="10" t="inlineStr">
        <is>
          <t>Pending</t>
        </is>
      </c>
      <c r="N36" s="31" t="n"/>
      <c r="O36" s="10" t="str"/>
      <c r="P36" s="10" t="str"/>
      <c r="Q36" s="5">
        <f>IF(AND(K36="Done",M36="Accepted",LEN(L36)&gt;0,LEN(P36)&gt;0),1,0)</f>
        <v/>
      </c>
      <c r="R36" s="27" t="inlineStr">
        <is>
          <t>F041</t>
        </is>
      </c>
    </row>
    <row r="37" ht="40" customHeight="1">
      <c r="A37" s="9" t="inlineStr">
        <is>
          <t>M031</t>
        </is>
      </c>
      <c r="B37" s="9" t="n">
        <v>4</v>
      </c>
      <c r="C37" s="9" t="inlineStr">
        <is>
          <t>SG4</t>
        </is>
      </c>
      <c r="D37" s="9" t="inlineStr">
        <is>
          <t>Doctor</t>
        </is>
      </c>
      <c r="E37" s="30" t="n">
        <v>2</v>
      </c>
      <c r="F37" s="9" t="inlineStr">
        <is>
          <t>Maternal/pediatric review of birth and loss flow</t>
        </is>
      </c>
      <c r="G37" s="9" t="inlineStr">
        <is>
          <t>M027 M028 M029</t>
        </is>
      </c>
      <c r="H37" s="9" t="inlineStr">
        <is>
          <t>Stages 4–6 R04</t>
        </is>
      </c>
      <c r="I37" s="9" t="inlineStr">
        <is>
          <t>Maternal approval and facility pediatric review recorded separately; corrections assigned.</t>
        </is>
      </c>
      <c r="J37" s="9" t="inlineStr">
        <is>
          <t>Team lead</t>
        </is>
      </c>
      <c r="K37" s="10" t="inlineStr">
        <is>
          <t>Not started</t>
        </is>
      </c>
      <c r="L37" s="10" t="str"/>
      <c r="M37" s="10" t="inlineStr">
        <is>
          <t>Pending</t>
        </is>
      </c>
      <c r="N37" s="31" t="n"/>
      <c r="O37" s="10" t="str"/>
      <c r="P37" s="10" t="str"/>
      <c r="Q37" s="9">
        <f>IF(AND(K37="Done",M37="Accepted",LEN(L37)&gt;0,LEN(P37)&gt;0),1,0)</f>
        <v/>
      </c>
      <c r="R37" s="26" t="inlineStr">
        <is>
          <t>F021, F023, F024, F025, F026, F027, F028</t>
        </is>
      </c>
    </row>
    <row r="38" ht="40" customHeight="1">
      <c r="A38" s="5" t="inlineStr">
        <is>
          <t>M032</t>
        </is>
      </c>
      <c r="B38" s="5" t="n">
        <v>4</v>
      </c>
      <c r="C38" s="5" t="inlineStr">
        <is>
          <t>SG4</t>
        </is>
      </c>
      <c r="D38" s="5" t="inlineStr">
        <is>
          <t>Tester</t>
        </is>
      </c>
      <c r="E38" s="32" t="n">
        <v>4</v>
      </c>
      <c r="F38" s="5" t="inlineStr">
        <is>
          <t>Exercise twins, discharge, loss and transfer</t>
        </is>
      </c>
      <c r="G38" s="5" t="inlineStr">
        <is>
          <t>M027 M028 M029</t>
        </is>
      </c>
      <c r="H38" s="5" t="inlineStr">
        <is>
          <t>AT15–AT18 AT29</t>
        </is>
      </c>
      <c r="I38" s="5" t="inlineStr">
        <is>
          <t>Run each sibling independently; verify pending and in-flight message behavior.</t>
        </is>
      </c>
      <c r="J38" s="5" t="inlineStr">
        <is>
          <t>Tech lead</t>
        </is>
      </c>
      <c r="K38" s="10" t="inlineStr">
        <is>
          <t>Not started</t>
        </is>
      </c>
      <c r="L38" s="10" t="str"/>
      <c r="M38" s="10" t="inlineStr">
        <is>
          <t>Pending</t>
        </is>
      </c>
      <c r="N38" s="31" t="n"/>
      <c r="O38" s="10" t="str"/>
      <c r="P38" s="10" t="str"/>
      <c r="Q38" s="5">
        <f>IF(AND(K38="Done",M38="Accepted",LEN(L38)&gt;0,LEN(P38)&gt;0),1,0)</f>
        <v/>
      </c>
      <c r="R38" s="27" t="inlineStr">
        <is>
          <t>F021, F022, F023, F026, F027, F028, T015</t>
        </is>
      </c>
    </row>
    <row r="39" ht="55" customHeight="1">
      <c r="A39" s="9" t="inlineStr">
        <is>
          <t>M033</t>
        </is>
      </c>
      <c r="B39" s="9" t="n">
        <v>5</v>
      </c>
      <c r="C39" s="9" t="inlineStr">
        <is>
          <t>SG5</t>
        </is>
      </c>
      <c r="D39" s="9" t="inlineStr">
        <is>
          <t>Tech lead</t>
        </is>
      </c>
      <c r="E39" s="30" t="n">
        <v>5</v>
      </c>
      <c r="F39" s="9" t="inlineStr">
        <is>
          <t>Review offline draft and child schedule boundaries</t>
        </is>
      </c>
      <c r="G39" s="9" t="inlineStr">
        <is>
          <t>M025</t>
        </is>
      </c>
      <c r="H39" s="9" t="inlineStr">
        <is>
          <t>R05 R08</t>
        </is>
      </c>
      <c r="I39" s="9" t="inlineStr">
        <is>
          <t>Operation IDs, version conflicts and limited local data plan approved; no automatic clinical schedule selection.</t>
        </is>
      </c>
      <c r="J39" s="9" t="inlineStr">
        <is>
          <t>Team lead</t>
        </is>
      </c>
      <c r="K39" s="10" t="inlineStr">
        <is>
          <t>Not started</t>
        </is>
      </c>
      <c r="L39" s="10" t="str"/>
      <c r="M39" s="10" t="inlineStr">
        <is>
          <t>Pending</t>
        </is>
      </c>
      <c r="N39" s="31" t="n"/>
      <c r="O39" s="10" t="str"/>
      <c r="P39" s="10" t="str"/>
      <c r="Q39" s="9">
        <f>IF(AND(K39="Done",M39="Accepted",LEN(L39)&gt;0,LEN(P39)&gt;0),1,0)</f>
        <v/>
      </c>
      <c r="R39" s="26" t="inlineStr">
        <is>
          <t>F029, F033, T016</t>
        </is>
      </c>
    </row>
    <row r="40" ht="40" customHeight="1">
      <c r="A40" s="5" t="inlineStr">
        <is>
          <t>M034</t>
        </is>
      </c>
      <c r="B40" s="5" t="n">
        <v>5</v>
      </c>
      <c r="C40" s="5" t="inlineStr">
        <is>
          <t>SG5</t>
        </is>
      </c>
      <c r="D40" s="5" t="inlineStr">
        <is>
          <t>Tech lead</t>
        </is>
      </c>
      <c r="E40" s="32" t="n">
        <v>3</v>
      </c>
      <c r="F40" s="5" t="inlineStr">
        <is>
          <t>Review guardian and content withdrawal controls</t>
        </is>
      </c>
      <c r="G40" s="5" t="inlineStr">
        <is>
          <t>M010 M018</t>
        </is>
      </c>
      <c r="H40" s="5" t="inlineStr">
        <is>
          <t>R02 R06</t>
        </is>
      </c>
      <c r="I40" s="5" t="inlineStr">
        <is>
          <t>Guardian authorization and withdrawal/cache invalidation contracts agreed; verification cases specified.</t>
        </is>
      </c>
      <c r="J40" s="5" t="inlineStr">
        <is>
          <t>Pediatric reviewer</t>
        </is>
      </c>
      <c r="K40" s="10" t="inlineStr">
        <is>
          <t>Not started</t>
        </is>
      </c>
      <c r="L40" s="10" t="str"/>
      <c r="M40" s="10" t="inlineStr">
        <is>
          <t>Pending</t>
        </is>
      </c>
      <c r="N40" s="31" t="n"/>
      <c r="O40" s="10" t="str"/>
      <c r="P40" s="10" t="str"/>
      <c r="Q40" s="5">
        <f>IF(AND(K40="Done",M40="Accepted",LEN(L40)&gt;0,LEN(P40)&gt;0),1,0)</f>
        <v/>
      </c>
      <c r="R40" s="27" t="inlineStr">
        <is>
          <t>F032, F034, T010, T017</t>
        </is>
      </c>
    </row>
    <row r="41" ht="55" customHeight="1">
      <c r="A41" s="9" t="inlineStr">
        <is>
          <t>M035</t>
        </is>
      </c>
      <c r="B41" s="9" t="n">
        <v>5</v>
      </c>
      <c r="C41" s="9" t="inlineStr">
        <is>
          <t>SG5</t>
        </is>
      </c>
      <c r="D41" s="9" t="inlineStr">
        <is>
          <t>Developer</t>
        </is>
      </c>
      <c r="E41" s="30" t="n">
        <v>8</v>
      </c>
      <c r="F41" s="9" t="inlineStr">
        <is>
          <t>Infancy and early-childhood workflows</t>
        </is>
      </c>
      <c r="G41" s="9" t="inlineStr">
        <is>
          <t>M027 M033</t>
        </is>
      </c>
      <c r="H41" s="9" t="inlineStr">
        <is>
          <t>Stages 7–8 R03 R05</t>
        </is>
      </c>
      <c r="I41" s="9" t="inlineStr">
        <is>
          <t>AT19 pass; verified/outside/unknown dose history; no clinical interpretation; child tasks survive maternal closure.</t>
        </is>
      </c>
      <c r="J41" s="9" t="inlineStr">
        <is>
          <t>Pediatric reviewer</t>
        </is>
      </c>
      <c r="K41" s="10" t="inlineStr">
        <is>
          <t>Not started</t>
        </is>
      </c>
      <c r="L41" s="10" t="str"/>
      <c r="M41" s="10" t="inlineStr">
        <is>
          <t>Pending</t>
        </is>
      </c>
      <c r="N41" s="31" t="n"/>
      <c r="O41" s="10" t="str"/>
      <c r="P41" s="10" t="str"/>
      <c r="Q41" s="9">
        <f>IF(AND(K41="Done",M41="Accepted",LEN(L41)&gt;0,LEN(P41)&gt;0),1,0)</f>
        <v/>
      </c>
      <c r="R41" s="26" t="inlineStr">
        <is>
          <t>F029, F030, F031</t>
        </is>
      </c>
    </row>
    <row r="42" ht="40" customHeight="1">
      <c r="A42" s="5" t="inlineStr">
        <is>
          <t>M036</t>
        </is>
      </c>
      <c r="B42" s="5" t="n">
        <v>5</v>
      </c>
      <c r="C42" s="5" t="inlineStr">
        <is>
          <t>SG5</t>
        </is>
      </c>
      <c r="D42" s="5" t="inlineStr">
        <is>
          <t>Developer</t>
        </is>
      </c>
      <c r="E42" s="32" t="n">
        <v>8</v>
      </c>
      <c r="F42" s="5" t="inlineStr">
        <is>
          <t>Offline field drafts and reconciliation</t>
        </is>
      </c>
      <c r="G42" s="5" t="inlineStr">
        <is>
          <t>M033</t>
        </is>
      </c>
      <c r="H42" s="5" t="inlineStr">
        <is>
          <t>R08</t>
        </is>
      </c>
      <c r="I42" s="5" t="inlineStr">
        <is>
          <t>AT20 pass; retries create one entry and conflicting plan changes cannot be overwritten.</t>
        </is>
      </c>
      <c r="J42" s="5" t="inlineStr">
        <is>
          <t>Tech lead</t>
        </is>
      </c>
      <c r="K42" s="10" t="inlineStr">
        <is>
          <t>Not started</t>
        </is>
      </c>
      <c r="L42" s="10" t="str"/>
      <c r="M42" s="10" t="inlineStr">
        <is>
          <t>Pending</t>
        </is>
      </c>
      <c r="N42" s="31" t="n"/>
      <c r="O42" s="10" t="str"/>
      <c r="P42" s="10" t="str"/>
      <c r="Q42" s="5">
        <f>IF(AND(K42="Done",M42="Accepted",LEN(L42)&gt;0,LEN(P42)&gt;0),1,0)</f>
        <v/>
      </c>
      <c r="R42" s="27" t="inlineStr">
        <is>
          <t>F033, T016</t>
        </is>
      </c>
    </row>
    <row r="43" ht="40" customHeight="1">
      <c r="A43" s="9" t="inlineStr">
        <is>
          <t>M037</t>
        </is>
      </c>
      <c r="B43" s="9" t="n">
        <v>5</v>
      </c>
      <c r="C43" s="9" t="inlineStr">
        <is>
          <t>SG5</t>
        </is>
      </c>
      <c r="D43" s="9" t="inlineStr">
        <is>
          <t>Developer</t>
        </is>
      </c>
      <c r="E43" s="30" t="n">
        <v>6</v>
      </c>
      <c r="F43" s="9" t="inlineStr">
        <is>
          <t>Guardian permissions and content publishing</t>
        </is>
      </c>
      <c r="G43" s="9" t="inlineStr">
        <is>
          <t>M034</t>
        </is>
      </c>
      <c r="H43" s="9" t="inlineStr">
        <is>
          <t>R02 R06</t>
        </is>
      </c>
      <c r="I43" s="9" t="inlineStr">
        <is>
          <t>AT21 pass; approvals, text/audio versions, revoke and withdrawal paths work.</t>
        </is>
      </c>
      <c r="J43" s="9" t="inlineStr">
        <is>
          <t>Tech lead</t>
        </is>
      </c>
      <c r="K43" s="10" t="inlineStr">
        <is>
          <t>Not started</t>
        </is>
      </c>
      <c r="L43" s="10" t="str"/>
      <c r="M43" s="10" t="inlineStr">
        <is>
          <t>Pending</t>
        </is>
      </c>
      <c r="N43" s="31" t="n"/>
      <c r="O43" s="10" t="str"/>
      <c r="P43" s="10" t="str"/>
      <c r="Q43" s="9">
        <f>IF(AND(K43="Done",M43="Accepted",LEN(L43)&gt;0,LEN(P43)&gt;0),1,0)</f>
        <v/>
      </c>
      <c r="R43" s="26" t="inlineStr">
        <is>
          <t>F022, F032, F034, T010, T017</t>
        </is>
      </c>
    </row>
    <row r="44" ht="55" customHeight="1">
      <c r="A44" s="5" t="inlineStr">
        <is>
          <t>M038</t>
        </is>
      </c>
      <c r="B44" s="5" t="n">
        <v>5</v>
      </c>
      <c r="C44" s="5" t="inlineStr">
        <is>
          <t>SG5</t>
        </is>
      </c>
      <c r="D44" s="5" t="inlineStr">
        <is>
          <t>Team lead</t>
        </is>
      </c>
      <c r="E44" s="32" t="n">
        <v>6</v>
      </c>
      <c r="F44" s="5" t="inlineStr">
        <is>
          <t>Complete reviewed content production</t>
        </is>
      </c>
      <c r="G44" s="5" t="inlineStr">
        <is>
          <t>M023 M031</t>
        </is>
      </c>
      <c r="H44" s="5" t="inlineStr">
        <is>
          <t>R06</t>
        </is>
      </c>
      <c r="I44" s="5" t="inlineStr">
        <is>
          <t>12 topic packages in English and pilot language prepared; translation/narration resources confirmed.</t>
        </is>
      </c>
      <c r="J44" s="5" t="inlineStr">
        <is>
          <t>Doctor</t>
        </is>
      </c>
      <c r="K44" s="10" t="inlineStr">
        <is>
          <t>Not started</t>
        </is>
      </c>
      <c r="L44" s="10" t="str"/>
      <c r="M44" s="10" t="inlineStr">
        <is>
          <t>Pending</t>
        </is>
      </c>
      <c r="N44" s="31" t="n"/>
      <c r="O44" s="10" t="str"/>
      <c r="P44" s="10" t="str"/>
      <c r="Q44" s="5">
        <f>IF(AND(K44="Done",M44="Accepted",LEN(L44)&gt;0,LEN(P44)&gt;0),1,0)</f>
        <v/>
      </c>
      <c r="R44" s="27" t="inlineStr">
        <is>
          <t>F020, F034, F035, T017</t>
        </is>
      </c>
    </row>
    <row r="45" ht="40" customHeight="1">
      <c r="A45" s="9" t="inlineStr">
        <is>
          <t>M039</t>
        </is>
      </c>
      <c r="B45" s="9" t="n">
        <v>5</v>
      </c>
      <c r="C45" s="9" t="inlineStr">
        <is>
          <t>SG5</t>
        </is>
      </c>
      <c r="D45" s="9" t="inlineStr">
        <is>
          <t>Doctor</t>
        </is>
      </c>
      <c r="E45" s="30" t="n">
        <v>2</v>
      </c>
      <c r="F45" s="9" t="inlineStr">
        <is>
          <t>Review child schedules and content batch</t>
        </is>
      </c>
      <c r="G45" s="9" t="inlineStr">
        <is>
          <t>M035 M038</t>
        </is>
      </c>
      <c r="H45" s="9" t="inlineStr">
        <is>
          <t>Stages 7–8 R05 R06</t>
        </is>
      </c>
      <c r="I45" s="9" t="inlineStr">
        <is>
          <t>Pediatric reviewer confirms child content; maternal reviewer confirms remaining maternal material.</t>
        </is>
      </c>
      <c r="J45" s="9" t="inlineStr">
        <is>
          <t>Team lead</t>
        </is>
      </c>
      <c r="K45" s="10" t="inlineStr">
        <is>
          <t>Not started</t>
        </is>
      </c>
      <c r="L45" s="10" t="str"/>
      <c r="M45" s="10" t="inlineStr">
        <is>
          <t>Pending</t>
        </is>
      </c>
      <c r="N45" s="31" t="n"/>
      <c r="O45" s="10" t="str"/>
      <c r="P45" s="10" t="str"/>
      <c r="Q45" s="9">
        <f>IF(AND(K45="Done",M45="Accepted",LEN(L45)&gt;0,LEN(P45)&gt;0),1,0)</f>
        <v/>
      </c>
      <c r="R45" s="26" t="inlineStr">
        <is>
          <t>F029, F030, F031, F034, F035</t>
        </is>
      </c>
    </row>
    <row r="46" ht="40" customHeight="1">
      <c r="A46" s="5" t="inlineStr">
        <is>
          <t>M040</t>
        </is>
      </c>
      <c r="B46" s="5" t="n">
        <v>5</v>
      </c>
      <c r="C46" s="5" t="inlineStr">
        <is>
          <t>SG5</t>
        </is>
      </c>
      <c r="D46" s="5" t="inlineStr">
        <is>
          <t>Tester</t>
        </is>
      </c>
      <c r="E46" s="32" t="n">
        <v>6</v>
      </c>
      <c r="F46" s="5" t="inlineStr">
        <is>
          <t>Test child access and weak-network drafts</t>
        </is>
      </c>
      <c r="G46" s="5" t="inlineStr">
        <is>
          <t>M035 M036 M037</t>
        </is>
      </c>
      <c r="H46" s="5" t="inlineStr">
        <is>
          <t>AT19–AT21 AT29</t>
        </is>
      </c>
      <c r="I46" s="5" t="inlineStr">
        <is>
          <t>Low-end device evidence and unauthorized guardian/record checks recorded.</t>
        </is>
      </c>
      <c r="J46" s="5" t="inlineStr">
        <is>
          <t>Tech lead</t>
        </is>
      </c>
      <c r="K46" s="10" t="inlineStr">
        <is>
          <t>Not started</t>
        </is>
      </c>
      <c r="L46" s="10" t="str"/>
      <c r="M46" s="10" t="inlineStr">
        <is>
          <t>Pending</t>
        </is>
      </c>
      <c r="N46" s="31" t="n"/>
      <c r="O46" s="10" t="str"/>
      <c r="P46" s="10" t="str"/>
      <c r="Q46" s="5">
        <f>IF(AND(K46="Done",M46="Accepted",LEN(L46)&gt;0,LEN(P46)&gt;0),1,0)</f>
        <v/>
      </c>
      <c r="R46" s="27" t="inlineStr">
        <is>
          <t>F029, F030, F031, F032, F033, T016</t>
        </is>
      </c>
    </row>
    <row r="47" ht="40" customHeight="1">
      <c r="A47" s="9" t="inlineStr">
        <is>
          <t>M041</t>
        </is>
      </c>
      <c r="B47" s="9" t="n">
        <v>6</v>
      </c>
      <c r="C47" s="9" t="inlineStr">
        <is>
          <t>SG5</t>
        </is>
      </c>
      <c r="D47" s="9" t="inlineStr">
        <is>
          <t>Tech lead</t>
        </is>
      </c>
      <c r="E47" s="30" t="n">
        <v>5</v>
      </c>
      <c r="F47" s="9" t="inlineStr">
        <is>
          <t>Review security and complete requirement trace</t>
        </is>
      </c>
      <c r="G47" s="9" t="inlineStr">
        <is>
          <t>M034 M037</t>
        </is>
      </c>
      <c r="H47" s="9" t="inlineStr">
        <is>
          <t>R01–R12</t>
        </is>
      </c>
      <c r="I47" s="9" t="inlineStr">
        <is>
          <t>All mandatory requirements mapped; evidence gaps and dependencies assigned.</t>
        </is>
      </c>
      <c r="J47" s="9" t="inlineStr">
        <is>
          <t>Team lead</t>
        </is>
      </c>
      <c r="K47" s="10" t="inlineStr">
        <is>
          <t>Not started</t>
        </is>
      </c>
      <c r="L47" s="10" t="str"/>
      <c r="M47" s="10" t="inlineStr">
        <is>
          <t>Pending</t>
        </is>
      </c>
      <c r="N47" s="31" t="n"/>
      <c r="O47" s="10" t="str"/>
      <c r="P47" s="10" t="str"/>
      <c r="Q47" s="9">
        <f>IF(AND(K47="Done",M47="Accepted",LEN(L47)&gt;0,LEN(P47)&gt;0),1,0)</f>
        <v/>
      </c>
      <c r="R47" s="26" t="inlineStr">
        <is>
          <t>F040, T005, T019</t>
        </is>
      </c>
    </row>
    <row r="48" ht="55" customHeight="1">
      <c r="A48" s="5" t="inlineStr">
        <is>
          <t>M042</t>
        </is>
      </c>
      <c r="B48" s="5" t="n">
        <v>6</v>
      </c>
      <c r="C48" s="5" t="inlineStr">
        <is>
          <t>SG5</t>
        </is>
      </c>
      <c r="D48" s="5" t="inlineStr">
        <is>
          <t>Tech lead</t>
        </is>
      </c>
      <c r="E48" s="32" t="n">
        <v>5</v>
      </c>
      <c r="F48" s="5" t="inlineStr">
        <is>
          <t>Prepare release infrastructure and recovery design</t>
        </is>
      </c>
      <c r="G48" s="5" t="inlineStr">
        <is>
          <t>M002 M041</t>
        </is>
      </c>
      <c r="H48" s="5" t="inlineStr">
        <is>
          <t>R10</t>
        </is>
      </c>
      <c r="I48" s="5" t="inlineStr">
        <is>
          <t>Staging/production separation, migration/backup/restore and deployment plan ready; no deployment without approval.</t>
        </is>
      </c>
      <c r="J48" s="5" t="inlineStr">
        <is>
          <t>Team lead</t>
        </is>
      </c>
      <c r="K48" s="10" t="inlineStr">
        <is>
          <t>Not started</t>
        </is>
      </c>
      <c r="L48" s="10" t="str"/>
      <c r="M48" s="10" t="inlineStr">
        <is>
          <t>Pending</t>
        </is>
      </c>
      <c r="N48" s="31" t="n"/>
      <c r="O48" s="10" t="str"/>
      <c r="P48" s="10" t="str"/>
      <c r="Q48" s="5">
        <f>IF(AND(K48="Done",M48="Accepted",LEN(L48)&gt;0,LEN(P48)&gt;0),1,0)</f>
        <v/>
      </c>
      <c r="R48" s="27" t="inlineStr">
        <is>
          <t>T020</t>
        </is>
      </c>
    </row>
    <row r="49" ht="40" customHeight="1">
      <c r="A49" s="9" t="inlineStr">
        <is>
          <t>M043</t>
        </is>
      </c>
      <c r="B49" s="9" t="n">
        <v>6</v>
      </c>
      <c r="C49" s="9" t="inlineStr">
        <is>
          <t>SG5</t>
        </is>
      </c>
      <c r="D49" s="9" t="inlineStr">
        <is>
          <t>Developer</t>
        </is>
      </c>
      <c r="E49" s="30" t="n">
        <v>7</v>
      </c>
      <c r="F49" s="9" t="inlineStr">
        <is>
          <t>Rights requests, audit views and secure exports</t>
        </is>
      </c>
      <c r="G49" s="9" t="inlineStr">
        <is>
          <t>M005 M037</t>
        </is>
      </c>
      <c r="H49" s="9" t="inlineStr">
        <is>
          <t>R07</t>
        </is>
      </c>
      <c r="I49" s="9" t="inlineStr">
        <is>
          <t>AT22 AT32 pass; scoped export, correction/deletion-review/grievance queue and minimal logs.</t>
        </is>
      </c>
      <c r="J49" s="9" t="inlineStr">
        <is>
          <t>Tech lead</t>
        </is>
      </c>
      <c r="K49" s="10" t="inlineStr">
        <is>
          <t>Not started</t>
        </is>
      </c>
      <c r="L49" s="10" t="str"/>
      <c r="M49" s="10" t="inlineStr">
        <is>
          <t>Pending</t>
        </is>
      </c>
      <c r="N49" s="31" t="n"/>
      <c r="O49" s="10" t="str"/>
      <c r="P49" s="10" t="str"/>
      <c r="Q49" s="9">
        <f>IF(AND(K49="Done",M49="Accepted",LEN(L49)&gt;0,LEN(P49)&gt;0),1,0)</f>
        <v/>
      </c>
      <c r="R49" s="26" t="inlineStr">
        <is>
          <t>F025, F036, F037, T006, T009, T018</t>
        </is>
      </c>
    </row>
    <row r="50" ht="40" customHeight="1">
      <c r="A50" s="5" t="inlineStr">
        <is>
          <t>M044</t>
        </is>
      </c>
      <c r="B50" s="5" t="n">
        <v>6</v>
      </c>
      <c r="C50" s="5" t="inlineStr">
        <is>
          <t>SG5</t>
        </is>
      </c>
      <c r="D50" s="5" t="inlineStr">
        <is>
          <t>Developer</t>
        </is>
      </c>
      <c r="E50" s="32" t="n">
        <v>7</v>
      </c>
      <c r="F50" s="5" t="inlineStr">
        <is>
          <t>Operational dashboard and reminder pause</t>
        </is>
      </c>
      <c r="G50" s="5" t="inlineStr">
        <is>
          <t>M019 M020</t>
        </is>
      </c>
      <c r="H50" s="5" t="inlineStr">
        <is>
          <t>R10 R11 R12</t>
        </is>
      </c>
      <c r="I50" s="5" t="inlineStr">
        <is>
          <t>AT23 AT30 AT31 pass; backlog, failure queue, ownership, worker restart and cost counters visible.</t>
        </is>
      </c>
      <c r="J50" s="5" t="inlineStr">
        <is>
          <t>Tech lead</t>
        </is>
      </c>
      <c r="K50" s="10" t="inlineStr">
        <is>
          <t>Not started</t>
        </is>
      </c>
      <c r="L50" s="10" t="str"/>
      <c r="M50" s="10" t="inlineStr">
        <is>
          <t>Pending</t>
        </is>
      </c>
      <c r="N50" s="31" t="n"/>
      <c r="O50" s="10" t="str"/>
      <c r="P50" s="10" t="str"/>
      <c r="Q50" s="5">
        <f>IF(AND(K50="Done",M50="Accepted",LEN(L50)&gt;0,LEN(P50)&gt;0),1,0)</f>
        <v/>
      </c>
      <c r="R50" s="27" t="inlineStr">
        <is>
          <t>F008, F024, F025, F038, F039, T012, T019</t>
        </is>
      </c>
    </row>
    <row r="51" ht="40" customHeight="1">
      <c r="A51" s="9" t="inlineStr">
        <is>
          <t>M045</t>
        </is>
      </c>
      <c r="B51" s="9" t="n">
        <v>6</v>
      </c>
      <c r="C51" s="9" t="inlineStr">
        <is>
          <t>SG5</t>
        </is>
      </c>
      <c r="D51" s="9" t="inlineStr">
        <is>
          <t>Developer</t>
        </is>
      </c>
      <c r="E51" s="30" t="n">
        <v>6</v>
      </c>
      <c r="F51" s="9" t="inlineStr">
        <is>
          <t>Close end-to-end scope gaps and regressions</t>
        </is>
      </c>
      <c r="G51" s="9" t="inlineStr">
        <is>
          <t>M035 M036 M043 M044</t>
        </is>
      </c>
      <c r="H51" s="9" t="inlineStr">
        <is>
          <t>Stages 1–8 R01–R12</t>
        </is>
      </c>
      <c r="I51" s="9" t="inlineStr">
        <is>
          <t>AT01–AT23 AT28–AT32 pass; full journey demo and content coverage complete.</t>
        </is>
      </c>
      <c r="J51" s="9" t="inlineStr">
        <is>
          <t>Tech lead</t>
        </is>
      </c>
      <c r="K51" s="10" t="inlineStr">
        <is>
          <t>Not started</t>
        </is>
      </c>
      <c r="L51" s="10" t="str"/>
      <c r="M51" s="10" t="inlineStr">
        <is>
          <t>Pending</t>
        </is>
      </c>
      <c r="N51" s="31" t="n"/>
      <c r="O51" s="10" t="str"/>
      <c r="P51" s="10" t="str"/>
      <c r="Q51" s="9">
        <f>IF(AND(K51="Done",M51="Accepted",LEN(L51)&gt;0,LEN(P51)&gt;0),1,0)</f>
        <v/>
      </c>
      <c r="R51" s="26" t="inlineStr">
        <is>
          <t>F035, F040</t>
        </is>
      </c>
    </row>
    <row r="52" ht="40" customHeight="1">
      <c r="A52" s="5" t="inlineStr">
        <is>
          <t>M046</t>
        </is>
      </c>
      <c r="B52" s="5" t="n">
        <v>6</v>
      </c>
      <c r="C52" s="5" t="inlineStr">
        <is>
          <t>SG5</t>
        </is>
      </c>
      <c r="D52" s="5" t="inlineStr">
        <is>
          <t>Team lead</t>
        </is>
      </c>
      <c r="E52" s="32" t="n">
        <v>7</v>
      </c>
      <c r="F52" s="5" t="inlineStr">
        <is>
          <t>Approve feature completeness and pilot operations draft</t>
        </is>
      </c>
      <c r="G52" s="5" t="inlineStr">
        <is>
          <t>M041 M045</t>
        </is>
      </c>
      <c r="H52" s="5" t="inlineStr">
        <is>
          <t>R11 R12</t>
        </is>
      </c>
      <c r="I52" s="5" t="inlineStr">
        <is>
          <t>SG5 scope checklist; named support/backup; budget/rights/retention review owners; no silent cuts.</t>
        </is>
      </c>
      <c r="J52" s="5" t="inlineStr">
        <is>
          <t>Doctor</t>
        </is>
      </c>
      <c r="K52" s="10" t="inlineStr">
        <is>
          <t>Not started</t>
        </is>
      </c>
      <c r="L52" s="10" t="str"/>
      <c r="M52" s="10" t="inlineStr">
        <is>
          <t>Pending</t>
        </is>
      </c>
      <c r="N52" s="31" t="n"/>
      <c r="O52" s="10" t="str"/>
      <c r="P52" s="10" t="str"/>
      <c r="Q52" s="5">
        <f>IF(AND(K52="Done",M52="Accepted",LEN(L52)&gt;0,LEN(P52)&gt;0),1,0)</f>
        <v/>
      </c>
      <c r="R52" s="27" t="inlineStr">
        <is>
          <t>F036, F038, F039, F042, T019, T020</t>
        </is>
      </c>
    </row>
    <row r="53" ht="40" customHeight="1">
      <c r="A53" s="9" t="inlineStr">
        <is>
          <t>M047</t>
        </is>
      </c>
      <c r="B53" s="9" t="n">
        <v>6</v>
      </c>
      <c r="C53" s="9" t="inlineStr">
        <is>
          <t>SG5</t>
        </is>
      </c>
      <c r="D53" s="9" t="inlineStr">
        <is>
          <t>Doctor</t>
        </is>
      </c>
      <c r="E53" s="30" t="n">
        <v>2</v>
      </c>
      <c r="F53" s="9" t="inlineStr">
        <is>
          <t>Review complete journey and all content approvals</t>
        </is>
      </c>
      <c r="G53" s="9" t="inlineStr">
        <is>
          <t>M039 M045</t>
        </is>
      </c>
      <c r="H53" s="9" t="inlineStr">
        <is>
          <t>R05 R06 R11</t>
        </is>
      </c>
      <c r="I53" s="9" t="inlineStr">
        <is>
          <t>12 topic packages signed or blocked; clinical feedback retested.</t>
        </is>
      </c>
      <c r="J53" s="9" t="inlineStr">
        <is>
          <t>Team lead</t>
        </is>
      </c>
      <c r="K53" s="10" t="inlineStr">
        <is>
          <t>Not started</t>
        </is>
      </c>
      <c r="L53" s="10" t="str"/>
      <c r="M53" s="10" t="inlineStr">
        <is>
          <t>Pending</t>
        </is>
      </c>
      <c r="N53" s="31" t="n"/>
      <c r="O53" s="10" t="str"/>
      <c r="P53" s="10" t="str"/>
      <c r="Q53" s="9">
        <f>IF(AND(K53="Done",M53="Accepted",LEN(L53)&gt;0,LEN(P53)&gt;0),1,0)</f>
        <v/>
      </c>
      <c r="R53" s="26" t="inlineStr">
        <is>
          <t>F034, F035, F040, T017</t>
        </is>
      </c>
    </row>
    <row r="54" ht="40" customHeight="1">
      <c r="A54" s="5" t="inlineStr">
        <is>
          <t>M048</t>
        </is>
      </c>
      <c r="B54" s="5" t="n">
        <v>6</v>
      </c>
      <c r="C54" s="5" t="inlineStr">
        <is>
          <t>SG5</t>
        </is>
      </c>
      <c r="D54" s="5" t="inlineStr">
        <is>
          <t>Tester</t>
        </is>
      </c>
      <c r="E54" s="32" t="n">
        <v>6</v>
      </c>
      <c r="F54" s="5" t="inlineStr">
        <is>
          <t>Run complete functional acceptance suite</t>
        </is>
      </c>
      <c r="G54" s="5" t="inlineStr">
        <is>
          <t>M045</t>
        </is>
      </c>
      <c r="H54" s="5" t="inlineStr">
        <is>
          <t>AT01–AT23 AT28–AT32</t>
        </is>
      </c>
      <c r="I54" s="5" t="inlineStr">
        <is>
          <t>Evidence at candidate SHA; all failures owned; critical/high defects block gate.</t>
        </is>
      </c>
      <c r="J54" s="5" t="inlineStr">
        <is>
          <t>Tech lead</t>
        </is>
      </c>
      <c r="K54" s="10" t="inlineStr">
        <is>
          <t>Not started</t>
        </is>
      </c>
      <c r="L54" s="10" t="str"/>
      <c r="M54" s="10" t="inlineStr">
        <is>
          <t>Pending</t>
        </is>
      </c>
      <c r="N54" s="31" t="n"/>
      <c r="O54" s="10" t="str"/>
      <c r="P54" s="10" t="str"/>
      <c r="Q54" s="5">
        <f>IF(AND(K54="Done",M54="Accepted",LEN(L54)&gt;0,LEN(P54)&gt;0),1,0)</f>
        <v/>
      </c>
      <c r="R54" s="27" t="inlineStr">
        <is>
          <t>F036, F037, F038, F040, T018</t>
        </is>
      </c>
    </row>
    <row r="55" ht="40" customHeight="1">
      <c r="A55" s="9" t="inlineStr">
        <is>
          <t>M049</t>
        </is>
      </c>
      <c r="B55" s="9" t="n">
        <v>7</v>
      </c>
      <c r="C55" s="9" t="inlineStr">
        <is>
          <t>SG6</t>
        </is>
      </c>
      <c r="D55" s="9" t="inlineStr">
        <is>
          <t>Tech lead</t>
        </is>
      </c>
      <c r="E55" s="30" t="n">
        <v>5</v>
      </c>
      <c r="F55" s="9" t="inlineStr">
        <is>
          <t>Run restore, rollback and load drills</t>
        </is>
      </c>
      <c r="G55" s="9" t="inlineStr">
        <is>
          <t>M042 M045</t>
        </is>
      </c>
      <c r="H55" s="9" t="inlineStr">
        <is>
          <t>R10 R12</t>
        </is>
      </c>
      <c r="I55" s="9" t="inlineStr">
        <is>
          <t>AT25 AT26 pass with measured timings and agreed network/load profile.</t>
        </is>
      </c>
      <c r="J55" s="9" t="inlineStr">
        <is>
          <t>Tester</t>
        </is>
      </c>
      <c r="K55" s="10" t="inlineStr">
        <is>
          <t>Not started</t>
        </is>
      </c>
      <c r="L55" s="10" t="str"/>
      <c r="M55" s="10" t="inlineStr">
        <is>
          <t>Pending</t>
        </is>
      </c>
      <c r="N55" s="31" t="n"/>
      <c r="O55" s="10" t="str"/>
      <c r="P55" s="10" t="str"/>
      <c r="Q55" s="9">
        <f>IF(AND(K55="Done",M55="Accepted",LEN(L55)&gt;0,LEN(P55)&gt;0),1,0)</f>
        <v/>
      </c>
      <c r="R55" s="26" t="inlineStr">
        <is>
          <t>T021, T022</t>
        </is>
      </c>
    </row>
    <row r="56" ht="40" customHeight="1">
      <c r="A56" s="5" t="inlineStr">
        <is>
          <t>M050</t>
        </is>
      </c>
      <c r="B56" s="5" t="n">
        <v>7</v>
      </c>
      <c r="C56" s="5" t="inlineStr">
        <is>
          <t>SG6</t>
        </is>
      </c>
      <c r="D56" s="5" t="inlineStr">
        <is>
          <t>Tech lead</t>
        </is>
      </c>
      <c r="E56" s="32" t="n">
        <v>4</v>
      </c>
      <c r="F56" s="5" t="inlineStr">
        <is>
          <t>Review security and triage field findings</t>
        </is>
      </c>
      <c r="G56" s="5" t="inlineStr">
        <is>
          <t>M041 M048</t>
        </is>
      </c>
      <c r="H56" s="5" t="inlineStr">
        <is>
          <t>R02 R07 R10</t>
        </is>
      </c>
      <c r="I56" s="5" t="inlineStr">
        <is>
          <t>No critical/high unresolved security defect; logging, secrets and permissions reviewed.</t>
        </is>
      </c>
      <c r="J56" s="5" t="inlineStr">
        <is>
          <t>Team lead</t>
        </is>
      </c>
      <c r="K56" s="10" t="inlineStr">
        <is>
          <t>Not started</t>
        </is>
      </c>
      <c r="L56" s="10" t="str"/>
      <c r="M56" s="10" t="inlineStr">
        <is>
          <t>Pending</t>
        </is>
      </c>
      <c r="N56" s="31" t="n"/>
      <c r="O56" s="10" t="str"/>
      <c r="P56" s="10" t="str"/>
      <c r="Q56" s="5">
        <f>IF(AND(K56="Done",M56="Accepted",LEN(L56)&gt;0,LEN(P56)&gt;0),1,0)</f>
        <v/>
      </c>
      <c r="R56" s="27" t="inlineStr">
        <is>
          <t>T005</t>
        </is>
      </c>
    </row>
    <row r="57" ht="40" customHeight="1">
      <c r="A57" s="9" t="inlineStr">
        <is>
          <t>M051</t>
        </is>
      </c>
      <c r="B57" s="9" t="n">
        <v>7</v>
      </c>
      <c r="C57" s="9" t="inlineStr">
        <is>
          <t>SG6</t>
        </is>
      </c>
      <c r="D57" s="9" t="inlineStr">
        <is>
          <t>Developer</t>
        </is>
      </c>
      <c r="E57" s="30" t="n">
        <v>8</v>
      </c>
      <c r="F57" s="9" t="inlineStr">
        <is>
          <t>Fix observed usability and reliability defects</t>
        </is>
      </c>
      <c r="G57" s="9" t="inlineStr">
        <is>
          <t>M048</t>
        </is>
      </c>
      <c r="H57" s="9" t="inlineStr">
        <is>
          <t>R08 R12</t>
        </is>
      </c>
      <c r="I57" s="9" t="inlineStr">
        <is>
          <t>AT24 findings corrected and rerun on rural/semi-urban scenarios.</t>
        </is>
      </c>
      <c r="J57" s="9" t="inlineStr">
        <is>
          <t>Tester</t>
        </is>
      </c>
      <c r="K57" s="10" t="inlineStr">
        <is>
          <t>Not started</t>
        </is>
      </c>
      <c r="L57" s="10" t="str"/>
      <c r="M57" s="10" t="inlineStr">
        <is>
          <t>Pending</t>
        </is>
      </c>
      <c r="N57" s="31" t="n"/>
      <c r="O57" s="10" t="str"/>
      <c r="P57" s="10" t="str"/>
      <c r="Q57" s="9">
        <f>IF(AND(K57="Done",M57="Accepted",LEN(L57)&gt;0,LEN(P57)&gt;0),1,0)</f>
        <v/>
      </c>
      <c r="R57" s="26" t="inlineStr">
        <is>
          <t>F041, T022</t>
        </is>
      </c>
    </row>
    <row r="58" ht="40" customHeight="1">
      <c r="A58" s="5" t="inlineStr">
        <is>
          <t>M052</t>
        </is>
      </c>
      <c r="B58" s="5" t="n">
        <v>7</v>
      </c>
      <c r="C58" s="5" t="inlineStr">
        <is>
          <t>SG6</t>
        </is>
      </c>
      <c r="D58" s="5" t="inlineStr">
        <is>
          <t>Developer</t>
        </is>
      </c>
      <c r="E58" s="32" t="n">
        <v>8</v>
      </c>
      <c r="F58" s="5" t="inlineStr">
        <is>
          <t>Resolve regression and release hardening defects</t>
        </is>
      </c>
      <c r="G58" s="5" t="inlineStr">
        <is>
          <t>M049 M050</t>
        </is>
      </c>
      <c r="H58" s="5" t="inlineStr">
        <is>
          <t>R10</t>
        </is>
      </c>
      <c r="I58" s="5" t="inlineStr">
        <is>
          <t>Recovery, stale content, message pause and access regressions retested.</t>
        </is>
      </c>
      <c r="J58" s="5" t="inlineStr">
        <is>
          <t>Tech lead</t>
        </is>
      </c>
      <c r="K58" s="10" t="inlineStr">
        <is>
          <t>Not started</t>
        </is>
      </c>
      <c r="L58" s="10" t="str"/>
      <c r="M58" s="10" t="inlineStr">
        <is>
          <t>Pending</t>
        </is>
      </c>
      <c r="N58" s="31" t="n"/>
      <c r="O58" s="10" t="str"/>
      <c r="P58" s="10" t="str"/>
      <c r="Q58" s="5">
        <f>IF(AND(K58="Done",M58="Accepted",LEN(L58)&gt;0,LEN(P58)&gt;0),1,0)</f>
        <v/>
      </c>
      <c r="R58" s="27" t="inlineStr">
        <is>
          <t>T021</t>
        </is>
      </c>
    </row>
    <row r="59" ht="40" customHeight="1">
      <c r="A59" s="9" t="inlineStr">
        <is>
          <t>M053</t>
        </is>
      </c>
      <c r="B59" s="9" t="n">
        <v>7</v>
      </c>
      <c r="C59" s="9" t="inlineStr">
        <is>
          <t>SG6</t>
        </is>
      </c>
      <c r="D59" s="9" t="inlineStr">
        <is>
          <t>Team lead</t>
        </is>
      </c>
      <c r="E59" s="30" t="n">
        <v>8</v>
      </c>
      <c r="F59" s="9" t="inlineStr">
        <is>
          <t>Conduct field sessions and operational rehearsal</t>
        </is>
      </c>
      <c r="G59" s="9" t="inlineStr">
        <is>
          <t>M030 M046</t>
        </is>
      </c>
      <c r="H59" s="9" t="inlineStr">
        <is>
          <t>R11 R12</t>
        </is>
      </c>
      <c r="I59" s="9" t="inlineStr">
        <is>
          <t>At least 3 users/setting; outcome counts and support rehearsal; AT24 AT27 recorded.</t>
        </is>
      </c>
      <c r="J59" s="9" t="inlineStr">
        <is>
          <t>Doctor</t>
        </is>
      </c>
      <c r="K59" s="10" t="inlineStr">
        <is>
          <t>Not started</t>
        </is>
      </c>
      <c r="L59" s="10" t="str"/>
      <c r="M59" s="10" t="inlineStr">
        <is>
          <t>Pending</t>
        </is>
      </c>
      <c r="N59" s="31" t="n"/>
      <c r="O59" s="10" t="str"/>
      <c r="P59" s="10" t="str"/>
      <c r="Q59" s="9">
        <f>IF(AND(K59="Done",M59="Accepted",LEN(L59)&gt;0,LEN(P59)&gt;0),1,0)</f>
        <v/>
      </c>
      <c r="R59" s="26" t="inlineStr">
        <is>
          <t>F014, F039, F041, F042, T022</t>
        </is>
      </c>
    </row>
    <row r="60" ht="40" customHeight="1">
      <c r="A60" s="5" t="inlineStr">
        <is>
          <t>M054</t>
        </is>
      </c>
      <c r="B60" s="5" t="n">
        <v>7</v>
      </c>
      <c r="C60" s="5" t="inlineStr">
        <is>
          <t>SG6</t>
        </is>
      </c>
      <c r="D60" s="5" t="inlineStr">
        <is>
          <t>Doctor</t>
        </is>
      </c>
      <c r="E60" s="32" t="n">
        <v>2</v>
      </c>
      <c r="F60" s="5" t="inlineStr">
        <is>
          <t>Validate comprehension and clinical corrections</t>
        </is>
      </c>
      <c r="G60" s="5" t="inlineStr">
        <is>
          <t>M051 M053</t>
        </is>
      </c>
      <c r="H60" s="5" t="inlineStr">
        <is>
          <t>R06 R11 R12</t>
        </is>
      </c>
      <c r="I60" s="5" t="inlineStr">
        <is>
          <t>No safety-critical misunderstanding; maternal and child issues resolved or gate held.</t>
        </is>
      </c>
      <c r="J60" s="5" t="inlineStr">
        <is>
          <t>Team lead</t>
        </is>
      </c>
      <c r="K60" s="10" t="inlineStr">
        <is>
          <t>Not started</t>
        </is>
      </c>
      <c r="L60" s="10" t="str"/>
      <c r="M60" s="10" t="inlineStr">
        <is>
          <t>Pending</t>
        </is>
      </c>
      <c r="N60" s="31" t="n"/>
      <c r="O60" s="10" t="str"/>
      <c r="P60" s="10" t="str"/>
      <c r="Q60" s="5">
        <f>IF(AND(K60="Done",M60="Accepted",LEN(L60)&gt;0,LEN(P60)&gt;0),1,0)</f>
        <v/>
      </c>
      <c r="R60" s="27" t="inlineStr">
        <is>
          <t>F041, F042</t>
        </is>
      </c>
    </row>
    <row r="61" ht="40" customHeight="1">
      <c r="A61" s="9" t="inlineStr">
        <is>
          <t>M055</t>
        </is>
      </c>
      <c r="B61" s="9" t="n">
        <v>7</v>
      </c>
      <c r="C61" s="9" t="inlineStr">
        <is>
          <t>SG6</t>
        </is>
      </c>
      <c r="D61" s="9" t="inlineStr">
        <is>
          <t>Tester</t>
        </is>
      </c>
      <c r="E61" s="30" t="n">
        <v>8</v>
      </c>
      <c r="F61" s="9" t="inlineStr">
        <is>
          <t>Independent field, resilience and regression verification</t>
        </is>
      </c>
      <c r="G61" s="9" t="inlineStr">
        <is>
          <t>M049 M051 M052</t>
        </is>
      </c>
      <c r="H61" s="9" t="inlineStr">
        <is>
          <t>AT24–AT27</t>
        </is>
      </c>
      <c r="I61" s="9" t="inlineStr">
        <is>
          <t>Repeatable evidence; no reliance on author claims; risk-based regression recorded.</t>
        </is>
      </c>
      <c r="J61" s="9" t="inlineStr">
        <is>
          <t>Tech lead</t>
        </is>
      </c>
      <c r="K61" s="10" t="inlineStr">
        <is>
          <t>Not started</t>
        </is>
      </c>
      <c r="L61" s="10" t="str"/>
      <c r="M61" s="10" t="inlineStr">
        <is>
          <t>Pending</t>
        </is>
      </c>
      <c r="N61" s="31" t="n"/>
      <c r="O61" s="10" t="str"/>
      <c r="P61" s="10" t="str"/>
      <c r="Q61" s="9">
        <f>IF(AND(K61="Done",M61="Accepted",LEN(L61)&gt;0,LEN(P61)&gt;0),1,0)</f>
        <v/>
      </c>
      <c r="R61" s="26" t="inlineStr">
        <is>
          <t>F041, F042, T021, T022</t>
        </is>
      </c>
    </row>
    <row r="62" ht="40" customHeight="1">
      <c r="A62" s="5" t="inlineStr">
        <is>
          <t>M056</t>
        </is>
      </c>
      <c r="B62" s="5" t="n">
        <v>8</v>
      </c>
      <c r="C62" s="5" t="inlineStr">
        <is>
          <t>SG7</t>
        </is>
      </c>
      <c r="D62" s="5" t="inlineStr">
        <is>
          <t>Tech lead</t>
        </is>
      </c>
      <c r="E62" s="32" t="n">
        <v>5</v>
      </c>
      <c r="F62" s="5" t="inlineStr">
        <is>
          <t>Review candidate, migration and deploy rehearsal</t>
        </is>
      </c>
      <c r="G62" s="5" t="inlineStr">
        <is>
          <t>M049 M052</t>
        </is>
      </c>
      <c r="H62" s="5" t="inlineStr">
        <is>
          <t>R10 R11</t>
        </is>
      </c>
      <c r="I62" s="5" t="inlineStr">
        <is>
          <t>Candidate SHA, reproducible release and restore/rollback check; approvals recorded.</t>
        </is>
      </c>
      <c r="J62" s="5" t="inlineStr">
        <is>
          <t>Team lead</t>
        </is>
      </c>
      <c r="K62" s="10" t="inlineStr">
        <is>
          <t>Not started</t>
        </is>
      </c>
      <c r="L62" s="10" t="str"/>
      <c r="M62" s="10" t="inlineStr">
        <is>
          <t>Pending</t>
        </is>
      </c>
      <c r="N62" s="31" t="n"/>
      <c r="O62" s="10" t="str"/>
      <c r="P62" s="10" t="str"/>
      <c r="Q62" s="5">
        <f>IF(AND(K62="Done",M62="Accepted",LEN(L62)&gt;0,LEN(P62)&gt;0),1,0)</f>
        <v/>
      </c>
      <c r="R62" s="27" t="inlineStr">
        <is>
          <t>F043, T020, T021, T023</t>
        </is>
      </c>
    </row>
    <row r="63" ht="40" customHeight="1">
      <c r="A63" s="9" t="inlineStr">
        <is>
          <t>M057</t>
        </is>
      </c>
      <c r="B63" s="9" t="n">
        <v>8</v>
      </c>
      <c r="C63" s="9" t="inlineStr">
        <is>
          <t>SG7</t>
        </is>
      </c>
      <c r="D63" s="9" t="inlineStr">
        <is>
          <t>Tech lead</t>
        </is>
      </c>
      <c r="E63" s="30" t="n">
        <v>4</v>
      </c>
      <c r="F63" s="9" t="inlineStr">
        <is>
          <t>Technical release review and bounded fixes</t>
        </is>
      </c>
      <c r="G63" s="9" t="inlineStr">
        <is>
          <t>M055 M056</t>
        </is>
      </c>
      <c r="H63" s="9" t="inlineStr">
        <is>
          <t>R01–R12</t>
        </is>
      </c>
      <c r="I63" s="9" t="inlineStr">
        <is>
          <t>All mandatory evidence current; no critical/high defects; technical sign-off or hold.</t>
        </is>
      </c>
      <c r="J63" s="9" t="inlineStr">
        <is>
          <t>Team lead</t>
        </is>
      </c>
      <c r="K63" s="10" t="inlineStr">
        <is>
          <t>Not started</t>
        </is>
      </c>
      <c r="L63" s="10" t="str"/>
      <c r="M63" s="10" t="inlineStr">
        <is>
          <t>Pending</t>
        </is>
      </c>
      <c r="N63" s="31" t="n"/>
      <c r="O63" s="10" t="str"/>
      <c r="P63" s="10" t="str"/>
      <c r="Q63" s="9">
        <f>IF(AND(K63="Done",M63="Accepted",LEN(L63)&gt;0,LEN(P63)&gt;0),1,0)</f>
        <v/>
      </c>
      <c r="R63" s="26" t="inlineStr">
        <is>
          <t>F043, T023</t>
        </is>
      </c>
    </row>
    <row r="64" ht="40" customHeight="1">
      <c r="A64" s="5" t="inlineStr">
        <is>
          <t>M058</t>
        </is>
      </c>
      <c r="B64" s="5" t="n">
        <v>8</v>
      </c>
      <c r="C64" s="5" t="inlineStr">
        <is>
          <t>SG7</t>
        </is>
      </c>
      <c r="D64" s="5" t="inlineStr">
        <is>
          <t>Developer</t>
        </is>
      </c>
      <c r="E64" s="32" t="n">
        <v>8</v>
      </c>
      <c r="F64" s="5" t="inlineStr">
        <is>
          <t>Resolve release-candidate defects</t>
        </is>
      </c>
      <c r="G64" s="5" t="inlineStr">
        <is>
          <t>M055</t>
        </is>
      </c>
      <c r="H64" s="5" t="inlineStr">
        <is>
          <t>R01–R12</t>
        </is>
      </c>
      <c r="I64" s="5" t="inlineStr">
        <is>
          <t>Assigned issues fixed and regression rerun; no new features.</t>
        </is>
      </c>
      <c r="J64" s="5" t="inlineStr">
        <is>
          <t>Tech lead</t>
        </is>
      </c>
      <c r="K64" s="10" t="inlineStr">
        <is>
          <t>Not started</t>
        </is>
      </c>
      <c r="L64" s="10" t="str"/>
      <c r="M64" s="10" t="inlineStr">
        <is>
          <t>Pending</t>
        </is>
      </c>
      <c r="N64" s="31" t="n"/>
      <c r="O64" s="10" t="str"/>
      <c r="P64" s="10" t="str"/>
      <c r="Q64" s="5">
        <f>IF(AND(K64="Done",M64="Accepted",LEN(L64)&gt;0,LEN(P64)&gt;0),1,0)</f>
        <v/>
      </c>
      <c r="R64" s="27" t="inlineStr">
        <is>
          <t>F043, T023</t>
        </is>
      </c>
    </row>
    <row r="65" ht="40" customHeight="1">
      <c r="A65" s="9" t="inlineStr">
        <is>
          <t>M059</t>
        </is>
      </c>
      <c r="B65" s="9" t="n">
        <v>8</v>
      </c>
      <c r="C65" s="9" t="inlineStr">
        <is>
          <t>SG7</t>
        </is>
      </c>
      <c r="D65" s="9" t="inlineStr">
        <is>
          <t>Developer</t>
        </is>
      </c>
      <c r="E65" s="30" t="n">
        <v>8</v>
      </c>
      <c r="F65" s="9" t="inlineStr">
        <is>
          <t>Package setup, training and final demonstration</t>
        </is>
      </c>
      <c r="G65" s="9" t="inlineStr">
        <is>
          <t>M058</t>
        </is>
      </c>
      <c r="H65" s="9" t="inlineStr">
        <is>
          <t>R09 R11</t>
        </is>
      </c>
      <c r="I65" s="9" t="inlineStr">
        <is>
          <t>Fresh checkout instructions; release demo; support handover; candidate evidence pack.</t>
        </is>
      </c>
      <c r="J65" s="9" t="inlineStr">
        <is>
          <t>Tester</t>
        </is>
      </c>
      <c r="K65" s="10" t="inlineStr">
        <is>
          <t>Not started</t>
        </is>
      </c>
      <c r="L65" s="10" t="str"/>
      <c r="M65" s="10" t="inlineStr">
        <is>
          <t>Pending</t>
        </is>
      </c>
      <c r="N65" s="31" t="n"/>
      <c r="O65" s="10" t="str"/>
      <c r="P65" s="10" t="str"/>
      <c r="Q65" s="9">
        <f>IF(AND(K65="Done",M65="Accepted",LEN(L65)&gt;0,LEN(P65)&gt;0),1,0)</f>
        <v/>
      </c>
      <c r="R65" s="26" t="inlineStr">
        <is>
          <t>F043, T007, T023</t>
        </is>
      </c>
    </row>
    <row r="66" ht="40" customHeight="1">
      <c r="A66" s="5" t="inlineStr">
        <is>
          <t>M060</t>
        </is>
      </c>
      <c r="B66" s="5" t="n">
        <v>8</v>
      </c>
      <c r="C66" s="5" t="inlineStr">
        <is>
          <t>SG7</t>
        </is>
      </c>
      <c r="D66" s="5" t="inlineStr">
        <is>
          <t>Team lead</t>
        </is>
      </c>
      <c r="E66" s="32" t="n">
        <v>8</v>
      </c>
      <c r="F66" s="5" t="inlineStr">
        <is>
          <t>Obtain clinical, technical and operating sign-offs</t>
        </is>
      </c>
      <c r="G66" s="5" t="inlineStr">
        <is>
          <t>M056 M057 M059</t>
        </is>
      </c>
      <c r="H66" s="5" t="inlineStr">
        <is>
          <t>R10 R11 R12</t>
        </is>
      </c>
      <c r="I66" s="5" t="inlineStr">
        <is>
          <t>Staffing, budget, contacts, vendor/privacy review and pilot go/no-go documented separately.</t>
        </is>
      </c>
      <c r="J66" s="5" t="inlineStr">
        <is>
          <t>Doctor</t>
        </is>
      </c>
      <c r="K66" s="10" t="inlineStr">
        <is>
          <t>Not started</t>
        </is>
      </c>
      <c r="L66" s="10" t="str"/>
      <c r="M66" s="10" t="inlineStr">
        <is>
          <t>Pending</t>
        </is>
      </c>
      <c r="N66" s="31" t="n"/>
      <c r="O66" s="10" t="str"/>
      <c r="P66" s="10" t="str"/>
      <c r="Q66" s="5">
        <f>IF(AND(K66="Done",M66="Accepted",LEN(L66)&gt;0,LEN(P66)&gt;0),1,0)</f>
        <v/>
      </c>
      <c r="R66" s="27" t="inlineStr">
        <is>
          <t>F043, T023</t>
        </is>
      </c>
    </row>
    <row r="67" ht="40" customHeight="1">
      <c r="A67" s="9" t="inlineStr">
        <is>
          <t>M061</t>
        </is>
      </c>
      <c r="B67" s="9" t="n">
        <v>8</v>
      </c>
      <c r="C67" s="9" t="inlineStr">
        <is>
          <t>SG7</t>
        </is>
      </c>
      <c r="D67" s="9" t="inlineStr">
        <is>
          <t>Doctor</t>
        </is>
      </c>
      <c r="E67" s="30" t="n">
        <v>2</v>
      </c>
      <c r="F67" s="9" t="inlineStr">
        <is>
          <t>Final maternal and pediatric clinical acceptance</t>
        </is>
      </c>
      <c r="G67" s="9" t="inlineStr">
        <is>
          <t>M054 M059</t>
        </is>
      </c>
      <c r="H67" s="9" t="inlineStr">
        <is>
          <t>R05 R06 R11</t>
        </is>
      </c>
      <c r="I67" s="9" t="inlineStr">
        <is>
          <t>Signed content/plan versions and clinical acceptance for candidate or explicit hold.</t>
        </is>
      </c>
      <c r="J67" s="9" t="inlineStr">
        <is>
          <t>Team lead</t>
        </is>
      </c>
      <c r="K67" s="10" t="inlineStr">
        <is>
          <t>Not started</t>
        </is>
      </c>
      <c r="L67" s="10" t="str"/>
      <c r="M67" s="10" t="inlineStr">
        <is>
          <t>Pending</t>
        </is>
      </c>
      <c r="N67" s="31" t="n"/>
      <c r="O67" s="10" t="str"/>
      <c r="P67" s="10" t="str"/>
      <c r="Q67" s="9">
        <f>IF(AND(K67="Done",M67="Accepted",LEN(L67)&gt;0,LEN(P67)&gt;0),1,0)</f>
        <v/>
      </c>
      <c r="R67" s="26" t="inlineStr">
        <is>
          <t>F043, T023</t>
        </is>
      </c>
    </row>
    <row r="68" ht="40" customHeight="1">
      <c r="A68" s="5" t="inlineStr">
        <is>
          <t>M062</t>
        </is>
      </c>
      <c r="B68" s="5" t="n">
        <v>8</v>
      </c>
      <c r="C68" s="5" t="inlineStr">
        <is>
          <t>SG7</t>
        </is>
      </c>
      <c r="D68" s="5" t="inlineStr">
        <is>
          <t>Tester</t>
        </is>
      </c>
      <c r="E68" s="32" t="n">
        <v>8</v>
      </c>
      <c r="F68" s="5" t="inlineStr">
        <is>
          <t>Release acceptance and clean setup verification</t>
        </is>
      </c>
      <c r="G68" s="5" t="inlineStr">
        <is>
          <t>M057 M059</t>
        </is>
      </c>
      <c r="H68" s="5" t="inlineStr">
        <is>
          <t>AT01–AT32</t>
        </is>
      </c>
      <c r="I68" s="5" t="inlineStr">
        <is>
          <t>Mandatory cases passed/current; independent evidence indexed; failed cases prevent sign-off.</t>
        </is>
      </c>
      <c r="J68" s="5" t="inlineStr">
        <is>
          <t>Team lead</t>
        </is>
      </c>
      <c r="K68" s="10" t="inlineStr">
        <is>
          <t>Not started</t>
        </is>
      </c>
      <c r="L68" s="10" t="str"/>
      <c r="M68" s="10" t="inlineStr">
        <is>
          <t>Pending</t>
        </is>
      </c>
      <c r="N68" s="31" t="n"/>
      <c r="O68" s="10" t="str"/>
      <c r="P68" s="10" t="str"/>
      <c r="Q68" s="5">
        <f>IF(AND(K68="Done",M68="Accepted",LEN(L68)&gt;0,LEN(P68)&gt;0),1,0)</f>
        <v/>
      </c>
      <c r="R68" s="27" t="inlineStr">
        <is>
          <t>F043, T023</t>
        </is>
      </c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</sheetData>
  <conditionalFormatting sqref="K7:K68">
    <cfRule type="containsText" priority="1" operator="containsText" dxfId="0" text="Blocked"/>
  </conditionalFormatting>
  <conditionalFormatting sqref="A7:P68">
    <cfRule type="expression" priority="2" dxfId="1">
      <formula>AND($K7="Done",OR($L7="",$M7&lt;&gt;"Accepted",$P7=""))</formula>
    </cfRule>
  </conditionalFormatting>
  <dataValidations count="2">
    <dataValidation sqref="K7:K68" showDropDown="0" showInputMessage="0" showErrorMessage="0" allowBlank="0" type="list">
      <formula1>"Not started,Ready,In progress,Review,Done,Blocked"</formula1>
    </dataValidation>
    <dataValidation sqref="M7:M68" showDropDown="0" showInputMessage="0" showErrorMessage="0" allowBlank="0" type="list">
      <formula1>"Pending,Accepted,Changes requested"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30" customWidth="1" min="4" max="4"/>
    <col width="57" customWidth="1" min="5" max="5"/>
    <col width="66" customWidth="1" min="6" max="6"/>
    <col width="27" customWidth="1" min="7" max="7"/>
    <col width="14" customWidth="1" min="8" max="8"/>
    <col width="28" customWidth="1" min="9" max="9"/>
    <col width="26" customWidth="1" min="10" max="10"/>
    <col width="22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MatriSathi acceptance scenarios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" t="inlineStr">
        <is>
          <t>AT01–AT32 are this pack’s suite. Re-run affected cases at later gates and the release candidate.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34" customHeight="1">
      <c r="A6" s="8" t="inlineStr">
        <is>
          <t>Case</t>
        </is>
      </c>
      <c r="B6" s="8" t="inlineStr">
        <is>
          <t>First gate</t>
        </is>
      </c>
      <c r="C6" s="8" t="inlineStr">
        <is>
          <t>Requirements</t>
        </is>
      </c>
      <c r="D6" s="8" t="inlineStr">
        <is>
          <t>Scenario</t>
        </is>
      </c>
      <c r="E6" s="8" t="inlineStr">
        <is>
          <t>Test steps</t>
        </is>
      </c>
      <c r="F6" s="8" t="inlineStr">
        <is>
          <t>Expected outcome</t>
        </is>
      </c>
      <c r="G6" s="8" t="inlineStr">
        <is>
          <t>Reviewer</t>
        </is>
      </c>
      <c r="H6" s="8" t="inlineStr">
        <is>
          <t>Result</t>
        </is>
      </c>
      <c r="I6" s="8" t="inlineStr">
        <is>
          <t>Evidence link</t>
        </is>
      </c>
      <c r="J6" s="8" t="inlineStr">
        <is>
          <t>Candidate SHA / date</t>
        </is>
      </c>
      <c r="K6" s="8" t="inlineStr">
        <is>
          <t>Actual reviewer</t>
        </is>
      </c>
    </row>
    <row r="7" ht="55" customHeight="1">
      <c r="A7" s="9" t="inlineStr">
        <is>
          <t>AT01</t>
        </is>
      </c>
      <c r="B7" s="9" t="inlineStr">
        <is>
          <t>SG1</t>
        </is>
      </c>
      <c r="C7" s="9" t="inlineStr">
        <is>
          <t>R02 R07</t>
        </is>
      </c>
      <c r="D7" s="9" t="inlineStr">
        <is>
          <t>Staff login and sessions</t>
        </is>
      </c>
      <c r="E7" s="9" t="inlineStr">
        <is>
          <t>Login with seeded staff; reject invalid/expired tokens; refresh, logout, replay and disable account.</t>
        </is>
      </c>
      <c r="F7" s="9" t="inlineStr">
        <is>
          <t>Valid session works; rotated/revoked sessions fail; generic errors and throttling evidenced.</t>
        </is>
      </c>
      <c r="G7" s="9" t="inlineStr">
        <is>
          <t>Tech lead</t>
        </is>
      </c>
      <c r="H7" s="10" t="inlineStr">
        <is>
          <t>Pass</t>
        </is>
      </c>
      <c r="I7" s="10" t="inlineStr">
        <is>
          <t>docs/delivery/evidence/SG1/report.md</t>
        </is>
      </c>
      <c r="J7" s="10" t="inlineStr">
        <is>
          <t>2026-09-30 (uncommitted working tree, pending commit)</t>
        </is>
      </c>
      <c r="K7" s="10" t="str"/>
    </row>
    <row r="8" ht="55" customHeight="1">
      <c r="A8" s="5" t="inlineStr">
        <is>
          <t>AT02</t>
        </is>
      </c>
      <c r="B8" s="5" t="inlineStr">
        <is>
          <t>SG1</t>
        </is>
      </c>
      <c r="C8" s="5" t="inlineStr">
        <is>
          <t>R02</t>
        </is>
      </c>
      <c r="D8" s="5" t="inlineStr">
        <is>
          <t>Organization and facility isolation</t>
        </is>
      </c>
      <c r="E8" s="5" t="inlineStr">
        <is>
          <t>Use two organizations, two facilities in one organization, coordinator and org admin; revoke membership.</t>
        </is>
      </c>
      <c r="F8" s="5" t="inlineStr">
        <is>
          <t>Allowed access only; org admin cannot cross organization; same token loses revoked access.</t>
        </is>
      </c>
      <c r="G8" s="5" t="inlineStr">
        <is>
          <t>Tech lead</t>
        </is>
      </c>
      <c r="H8" s="10" t="inlineStr">
        <is>
          <t>Pass</t>
        </is>
      </c>
      <c r="I8" s="10" t="inlineStr">
        <is>
          <t>docs/delivery/evidence/SG1/report.md</t>
        </is>
      </c>
      <c r="J8" s="10" t="inlineStr">
        <is>
          <t>2026-09-30 (uncommitted working tree, pending commit)</t>
        </is>
      </c>
      <c r="K8" s="10" t="str"/>
    </row>
    <row r="9" ht="40" customHeight="1">
      <c r="A9" s="9" t="inlineStr">
        <is>
          <t>AT03</t>
        </is>
      </c>
      <c r="B9" s="9" t="inlineStr">
        <is>
          <t>SG1</t>
        </is>
      </c>
      <c r="C9" s="9" t="inlineStr">
        <is>
          <t>R02</t>
        </is>
      </c>
      <c r="D9" s="9" t="inlineStr">
        <is>
          <t>Shared phone and reference injection</t>
        </is>
      </c>
      <c r="E9" s="9" t="inlineStr">
        <is>
          <t>Create two people sharing one phone; try linking an inaccessible Person into a new episode.</t>
        </is>
      </c>
      <c r="F9" s="9" t="inlineStr">
        <is>
          <t>People remain distinct; forbidden link and unauthorized search denied without exposing records.</t>
        </is>
      </c>
      <c r="G9" s="9" t="inlineStr">
        <is>
          <t>Tech lead</t>
        </is>
      </c>
      <c r="H9" s="10" t="inlineStr">
        <is>
          <t>Pass</t>
        </is>
      </c>
      <c r="I9" s="10" t="inlineStr">
        <is>
          <t>docs/delivery/evidence/SG1/report.md</t>
        </is>
      </c>
      <c r="J9" s="10" t="inlineStr">
        <is>
          <t>2026-09-30 (uncommitted working tree, pending commit)</t>
        </is>
      </c>
      <c r="K9" s="10" t="str"/>
    </row>
    <row r="10" ht="40" customHeight="1">
      <c r="A10" s="5" t="inlineStr">
        <is>
          <t>AT04</t>
        </is>
      </c>
      <c r="B10" s="5" t="inlineStr">
        <is>
          <t>SG1</t>
        </is>
      </c>
      <c r="C10" s="5" t="inlineStr">
        <is>
          <t>R07</t>
        </is>
      </c>
      <c r="D10" s="5" t="inlineStr">
        <is>
          <t>Audit integrity</t>
        </is>
      </c>
      <c r="E10" s="5" t="inlineStr">
        <is>
          <t>Create/read records; trigger denied request; try UPDATE/DELETE using runtime DB role.</t>
        </is>
      </c>
      <c r="F10" s="5" t="inlineStr">
        <is>
          <t>Successful and denied events persist with actor/time; runtime cannot alter history; no sensitive payloads.</t>
        </is>
      </c>
      <c r="G10" s="5" t="inlineStr">
        <is>
          <t>Tech lead</t>
        </is>
      </c>
      <c r="H10" s="10" t="inlineStr">
        <is>
          <t>Pass</t>
        </is>
      </c>
      <c r="I10" s="10" t="inlineStr">
        <is>
          <t>docs/delivery/evidence/SG1/report.md</t>
        </is>
      </c>
      <c r="J10" s="10" t="inlineStr">
        <is>
          <t>2026-09-30 (uncommitted working tree, pending commit)</t>
        </is>
      </c>
      <c r="K10" s="10" t="str"/>
    </row>
    <row r="11" ht="40" customHeight="1">
      <c r="A11" s="9" t="inlineStr">
        <is>
          <t>AT05</t>
        </is>
      </c>
      <c r="B11" s="9" t="inlineStr">
        <is>
          <t>SG1</t>
        </is>
      </c>
      <c r="C11" s="9" t="inlineStr">
        <is>
          <t>R09 R10</t>
        </is>
      </c>
      <c r="D11" s="9" t="inlineStr">
        <is>
          <t>Repeatable foundation</t>
        </is>
      </c>
      <c r="E11" s="9" t="inlineStr">
        <is>
          <t>Fresh checkout; locked install; migrations; real UI login/create/read; reload and restart.</t>
        </is>
      </c>
      <c r="F11" s="9" t="inlineStr">
        <is>
          <t>Documented commands succeed; persisted record shown; CI output tied to SHA.</t>
        </is>
      </c>
      <c r="G11" s="9" t="inlineStr">
        <is>
          <t>Tester</t>
        </is>
      </c>
      <c r="H11" s="10" t="inlineStr">
        <is>
          <t>Blocked</t>
        </is>
      </c>
      <c r="I11" s="10" t="inlineStr">
        <is>
          <t>docs/delivery/evidence/SG1/report.md</t>
        </is>
      </c>
      <c r="J11" s="10" t="inlineStr">
        <is>
          <t>2026-09-30 (uncommitted working tree, pending commit); CI not run — no remote (see report §6)</t>
        </is>
      </c>
      <c r="K11" s="10" t="str"/>
    </row>
    <row r="12" ht="40" customHeight="1">
      <c r="A12" s="5" t="inlineStr">
        <is>
          <t>AT06</t>
        </is>
      </c>
      <c r="B12" s="5" t="inlineStr">
        <is>
          <t>SG2</t>
        </is>
      </c>
      <c r="C12" s="5" t="inlineStr">
        <is>
          <t>Stages 1–3 R05</t>
        </is>
      </c>
      <c r="D12" s="5" t="inlineStr">
        <is>
          <t>Late/unknown dating and schedules</t>
        </is>
      </c>
      <c r="E12" s="5" t="inlineStr">
        <is>
          <t>Enter late pregnancy and unknown dates; clinician confirms/corrects dating; revise template.</t>
        </is>
      </c>
      <c r="F12" s="5" t="inlineStr">
        <is>
          <t>Unknown stays unknown; only approved plan activates; past events retained; obsolete reminders cancelled.</t>
        </is>
      </c>
      <c r="G12" s="5" t="inlineStr">
        <is>
          <t>Doctor</t>
        </is>
      </c>
      <c r="H12" s="10" t="inlineStr">
        <is>
          <t>Not run</t>
        </is>
      </c>
      <c r="I12" s="10" t="str"/>
      <c r="J12" s="10" t="str"/>
      <c r="K12" s="10" t="str"/>
    </row>
    <row r="13" ht="40" customHeight="1">
      <c r="A13" s="9" t="inlineStr">
        <is>
          <t>AT07</t>
        </is>
      </c>
      <c r="B13" s="9" t="inlineStr">
        <is>
          <t>SG2</t>
        </is>
      </c>
      <c r="C13" s="9" t="inlineStr">
        <is>
          <t>R03</t>
        </is>
      </c>
      <c r="D13" s="9" t="inlineStr">
        <is>
          <t>Appointments and overdue work</t>
        </is>
      </c>
      <c r="E13" s="9" t="inlineStr">
        <is>
          <t>Request, confirm, miss, reschedule and cancel visit; assigned owner unavailable.</t>
        </is>
      </c>
      <c r="F13" s="9" t="inlineStr">
        <is>
          <t>One clear next action; stale reminders cancelled; owned follow-up and backup; no inferred non-adherence.</t>
        </is>
      </c>
      <c r="G13" s="9" t="inlineStr">
        <is>
          <t>Tester</t>
        </is>
      </c>
      <c r="H13" s="10" t="inlineStr">
        <is>
          <t>Not run</t>
        </is>
      </c>
      <c r="I13" s="10" t="str"/>
      <c r="J13" s="10" t="str"/>
      <c r="K13" s="10" t="str"/>
    </row>
    <row r="14" ht="40" customHeight="1">
      <c r="A14" s="5" t="inlineStr">
        <is>
          <t>AT08</t>
        </is>
      </c>
      <c r="B14" s="5" t="inlineStr">
        <is>
          <t>SG2</t>
        </is>
      </c>
      <c r="C14" s="5" t="inlineStr">
        <is>
          <t>Stage 2 R03 R07</t>
        </is>
      </c>
      <c r="D14" s="5" t="inlineStr">
        <is>
          <t>Reports and medicine records</t>
        </is>
      </c>
      <c r="E14" s="5" t="inlineStr">
        <is>
          <t>Upload private report; record performed/received; unauthorized user tries clinical review.</t>
        </is>
      </c>
      <c r="F14" s="5" t="inlineStr">
        <is>
          <t>Upload is not review; only clinician marks review; original prescription retained; ambiguous instructions queued.</t>
        </is>
      </c>
      <c r="G14" s="5" t="inlineStr">
        <is>
          <t>Doctor</t>
        </is>
      </c>
      <c r="H14" s="10" t="inlineStr">
        <is>
          <t>Not run</t>
        </is>
      </c>
      <c r="I14" s="10" t="str"/>
      <c r="J14" s="10" t="str"/>
      <c r="K14" s="10" t="str"/>
    </row>
    <row r="15" ht="40" customHeight="1">
      <c r="A15" s="9" t="inlineStr">
        <is>
          <t>AT09</t>
        </is>
      </c>
      <c r="B15" s="9" t="inlineStr">
        <is>
          <t>SG2</t>
        </is>
      </c>
      <c r="C15" s="9" t="inlineStr">
        <is>
          <t>R03</t>
        </is>
      </c>
      <c r="D15" s="9" t="inlineStr">
        <is>
          <t>Referral closure</t>
        </is>
      </c>
      <c r="E15" s="9" t="inlineStr">
        <is>
          <t>Record sent/contacted/attended/advice/follow-up; try closing only because message sent.</t>
        </is>
      </c>
      <c r="F15" s="9" t="inlineStr">
        <is>
          <t>Closure follows defined state or reason; owner and unresolved work visible.</t>
        </is>
      </c>
      <c r="G15" s="9" t="inlineStr">
        <is>
          <t>Doctor</t>
        </is>
      </c>
      <c r="H15" s="10" t="inlineStr">
        <is>
          <t>Not run</t>
        </is>
      </c>
      <c r="I15" s="10" t="str"/>
      <c r="J15" s="10" t="str"/>
      <c r="K15" s="10" t="str"/>
    </row>
    <row r="16" ht="40" customHeight="1">
      <c r="A16" s="5" t="inlineStr">
        <is>
          <t>AT10</t>
        </is>
      </c>
      <c r="B16" s="5" t="inlineStr">
        <is>
          <t>SG2</t>
        </is>
      </c>
      <c r="C16" s="5" t="inlineStr">
        <is>
          <t>Stage 3 R06</t>
        </is>
      </c>
      <c r="D16" s="5" t="inlineStr">
        <is>
          <t>Birth plan and urgent help</t>
        </is>
      </c>
      <c r="E16" s="5" t="inlineStr">
        <is>
          <t>Open verified contact route without login/GPS; use web and printed plan.</t>
        </is>
      </c>
      <c r="F16" s="5" t="inlineStr">
        <is>
          <t>Dated contact, alternate and direct dialler available; no dispatch/ETA or chat emergency promise.</t>
        </is>
      </c>
      <c r="G16" s="5" t="inlineStr">
        <is>
          <t>Doctor</t>
        </is>
      </c>
      <c r="H16" s="10" t="inlineStr">
        <is>
          <t>Not run</t>
        </is>
      </c>
      <c r="I16" s="10" t="str"/>
      <c r="J16" s="10" t="str"/>
      <c r="K16" s="10" t="str"/>
    </row>
    <row r="17" ht="40" customHeight="1">
      <c r="A17" s="9" t="inlineStr">
        <is>
          <t>AT11</t>
        </is>
      </c>
      <c r="B17" s="9" t="inlineStr">
        <is>
          <t>SG3</t>
        </is>
      </c>
      <c r="C17" s="9" t="inlineStr">
        <is>
          <t>R01</t>
        </is>
      </c>
      <c r="D17" s="9" t="inlineStr">
        <is>
          <t>Real outbound messaging</t>
        </is>
      </c>
      <c r="E17" s="9" t="inlineStr">
        <is>
          <t>Send approved template to consenting staff test handset; capture provider status callbacks.</t>
        </is>
      </c>
      <c r="F17" s="9" t="inlineStr">
        <is>
          <t>Actual receipt verified; submitted/delivered/failed distinguished; no patient data in evidence.</t>
        </is>
      </c>
      <c r="G17" s="9" t="inlineStr">
        <is>
          <t>Tech lead</t>
        </is>
      </c>
      <c r="H17" s="10" t="inlineStr">
        <is>
          <t>Not run</t>
        </is>
      </c>
      <c r="I17" s="10" t="str"/>
      <c r="J17" s="10" t="str"/>
      <c r="K17" s="10" t="str"/>
    </row>
    <row r="18" ht="40" customHeight="1">
      <c r="A18" s="5" t="inlineStr">
        <is>
          <t>AT12</t>
        </is>
      </c>
      <c r="B18" s="5" t="inlineStr">
        <is>
          <t>SG3</t>
        </is>
      </c>
      <c r="C18" s="5" t="inlineStr">
        <is>
          <t>R01 R10</t>
        </is>
      </c>
      <c r="D18" s="5" t="inlineStr">
        <is>
          <t>Retries and stale sends</t>
        </is>
      </c>
      <c r="E18" s="5" t="inlineStr">
        <is>
          <t>Duplicate webhook/job; provider timeout; reschedule, opt out and restart worker.</t>
        </is>
      </c>
      <c r="F18" s="5" t="inlineStr">
        <is>
          <t>No repeated effect; unknown delivery reconciled; send-time eligibility checked; failures owned.</t>
        </is>
      </c>
      <c r="G18" s="5" t="inlineStr">
        <is>
          <t>Tech lead</t>
        </is>
      </c>
      <c r="H18" s="10" t="inlineStr">
        <is>
          <t>Not run</t>
        </is>
      </c>
      <c r="I18" s="10" t="str"/>
      <c r="J18" s="10" t="str"/>
      <c r="K18" s="10" t="str"/>
    </row>
    <row r="19" ht="40" customHeight="1">
      <c r="A19" s="9" t="inlineStr">
        <is>
          <t>AT13</t>
        </is>
      </c>
      <c r="B19" s="9" t="inlineStr">
        <is>
          <t>SG3</t>
        </is>
      </c>
      <c r="C19" s="9" t="inlineStr">
        <is>
          <t>R01 R02</t>
        </is>
      </c>
      <c r="D19" s="9" t="inlineStr">
        <is>
          <t>Inbound media and identity</t>
        </is>
      </c>
      <c r="E19" s="9" t="inlineStr">
        <is>
          <t>Send real text/voice/photo; shared number ambiguous; unsupported/oversized upload.</t>
        </is>
      </c>
      <c r="F19" s="9" t="inlineStr">
        <is>
          <t>Restricted unlinked queue; staff confirms identity; original audio playable; fallback and owner present.</t>
        </is>
      </c>
      <c r="G19" s="9" t="inlineStr">
        <is>
          <t>Tester</t>
        </is>
      </c>
      <c r="H19" s="10" t="inlineStr">
        <is>
          <t>Not run</t>
        </is>
      </c>
      <c r="I19" s="10" t="str"/>
      <c r="J19" s="10" t="str"/>
      <c r="K19" s="10" t="str"/>
    </row>
    <row r="20" ht="55" customHeight="1">
      <c r="A20" s="5" t="inlineStr">
        <is>
          <t>AT14</t>
        </is>
      </c>
      <c r="B20" s="5" t="inlineStr">
        <is>
          <t>SG3</t>
        </is>
      </c>
      <c r="C20" s="5" t="inlineStr">
        <is>
          <t>R01 R06</t>
        </is>
      </c>
      <c r="D20" s="5" t="inlineStr">
        <is>
          <t>Audio and channel preferences</t>
        </is>
      </c>
      <c r="E20" s="5" t="inlineStr">
        <is>
          <t>Play approved audio on web and permitted WhatsApp route; change language, safe timing, detail and opt-out.</t>
        </is>
      </c>
      <c r="F20" s="5" t="inlineStr">
        <is>
          <t>Text equivalent visible; preferences honored; fallback works; no generated clinical answer.</t>
        </is>
      </c>
      <c r="G20" s="5" t="inlineStr">
        <is>
          <t>Doctor</t>
        </is>
      </c>
      <c r="H20" s="10" t="inlineStr">
        <is>
          <t>Not run</t>
        </is>
      </c>
      <c r="I20" s="10" t="str"/>
      <c r="J20" s="10" t="str"/>
      <c r="K20" s="10" t="str"/>
    </row>
    <row r="21" ht="40" customHeight="1">
      <c r="A21" s="9" t="inlineStr">
        <is>
          <t>AT15</t>
        </is>
      </c>
      <c r="B21" s="9" t="inlineStr">
        <is>
          <t>SG4</t>
        </is>
      </c>
      <c r="C21" s="9" t="inlineStr">
        <is>
          <t>Stages 4–5 R02</t>
        </is>
      </c>
      <c r="D21" s="9" t="inlineStr">
        <is>
          <t>Birth and twins</t>
        </is>
      </c>
      <c r="E21" s="9" t="inlineStr">
        <is>
          <t>Record birth with two children; update one child and leave other unchanged.</t>
        </is>
      </c>
      <c r="F21" s="9" t="inlineStr">
        <is>
          <t>Distinct identities and histories; unknown facts allowed; siblings unaffected.</t>
        </is>
      </c>
      <c r="G21" s="9" t="inlineStr">
        <is>
          <t>Pediatric reviewer</t>
        </is>
      </c>
      <c r="H21" s="10" t="inlineStr">
        <is>
          <t>Not run</t>
        </is>
      </c>
      <c r="I21" s="10" t="str"/>
      <c r="J21" s="10" t="str"/>
      <c r="K21" s="10" t="str"/>
    </row>
    <row r="22" ht="40" customHeight="1">
      <c r="A22" s="5" t="inlineStr">
        <is>
          <t>AT16</t>
        </is>
      </c>
      <c r="B22" s="5" t="inlineStr">
        <is>
          <t>SG4</t>
        </is>
      </c>
      <c r="C22" s="5" t="inlineStr">
        <is>
          <t>Stage 5 R04</t>
        </is>
      </c>
      <c r="D22" s="5" t="inlineStr">
        <is>
          <t>Separate discharge</t>
        </is>
      </c>
      <c r="E22" s="5" t="inlineStr">
        <is>
          <t>Record mother and each child discharged on different dates with approved follow-up.</t>
        </is>
      </c>
      <c r="F22" s="5" t="inlineStr">
        <is>
          <t>Each approval and instructions independent; no metric automatically clears discharge.</t>
        </is>
      </c>
      <c r="G22" s="5" t="inlineStr">
        <is>
          <t>Doctor + Pediatric reviewer</t>
        </is>
      </c>
      <c r="H22" s="10" t="inlineStr">
        <is>
          <t>Not run</t>
        </is>
      </c>
      <c r="I22" s="10" t="str"/>
      <c r="J22" s="10" t="str"/>
      <c r="K22" s="10" t="str"/>
    </row>
    <row r="23" ht="55" customHeight="1">
      <c r="A23" s="9" t="inlineStr">
        <is>
          <t>AT17</t>
        </is>
      </c>
      <c r="B23" s="9" t="inlineStr">
        <is>
          <t>SG4</t>
        </is>
      </c>
      <c r="C23" s="9" t="inlineStr">
        <is>
          <t>R04</t>
        </is>
      </c>
      <c r="D23" s="9" t="inlineStr">
        <is>
          <t>Loss and message pause</t>
        </is>
      </c>
      <c r="E23" s="9" t="inlineStr">
        <is>
          <t>Report loss while incompatible messages queued; confirm outcome; one twin affected.</t>
        </is>
      </c>
      <c r="F23" s="9" t="inlineStr">
        <is>
          <t>Pause applies immediately to unsent incompatible messages; final send rechecks; in-flight limit logged; maternal support and sibling retained.</t>
        </is>
      </c>
      <c r="G23" s="9" t="inlineStr">
        <is>
          <t>Doctor</t>
        </is>
      </c>
      <c r="H23" s="10" t="inlineStr">
        <is>
          <t>Not run</t>
        </is>
      </c>
      <c r="I23" s="10" t="str"/>
      <c r="J23" s="10" t="str"/>
      <c r="K23" s="10" t="str"/>
    </row>
    <row r="24" ht="40" customHeight="1">
      <c r="A24" s="5" t="inlineStr">
        <is>
          <t>AT18</t>
        </is>
      </c>
      <c r="B24" s="5" t="inlineStr">
        <is>
          <t>SG4</t>
        </is>
      </c>
      <c r="C24" s="5" t="inlineStr">
        <is>
          <t>R04</t>
        </is>
      </c>
      <c r="D24" s="5" t="inlineStr">
        <is>
          <t>Transfer and readmission</t>
        </is>
      </c>
      <c r="E24" s="5" t="inlineStr">
        <is>
          <t>Transfer with open tasks and receiving owner; record readmission and original service dates.</t>
        </is>
      </c>
      <c r="F24" s="5" t="inlineStr">
        <is>
          <t>Authorized sharing; no silent closure; handover accepted; historical dates/source preserved.</t>
        </is>
      </c>
      <c r="G24" s="5" t="inlineStr">
        <is>
          <t>Doctor</t>
        </is>
      </c>
      <c r="H24" s="10" t="inlineStr">
        <is>
          <t>Not run</t>
        </is>
      </c>
      <c r="I24" s="10" t="str"/>
      <c r="J24" s="10" t="str"/>
      <c r="K24" s="10" t="str"/>
    </row>
    <row r="25" ht="40" customHeight="1">
      <c r="A25" s="9" t="inlineStr">
        <is>
          <t>AT19</t>
        </is>
      </c>
      <c r="B25" s="9" t="inlineStr">
        <is>
          <t>SG5</t>
        </is>
      </c>
      <c r="C25" s="9" t="inlineStr">
        <is>
          <t>Stages 7–8 R03 R05</t>
        </is>
      </c>
      <c r="D25" s="9" t="inlineStr">
        <is>
          <t>Child plans and vaccine records</t>
        </is>
      </c>
      <c r="E25" s="9" t="inlineStr">
        <is>
          <t>Add unknown/outside dose; verify; clinician changes plan; close maternal episode.</t>
        </is>
      </c>
      <c r="F25" s="9" t="inlineStr">
        <is>
          <t>No duplicate dose/reminder; raw measurements only; child work continues independently.</t>
        </is>
      </c>
      <c r="G25" s="9" t="inlineStr">
        <is>
          <t>Pediatric reviewer</t>
        </is>
      </c>
      <c r="H25" s="10" t="inlineStr">
        <is>
          <t>Not run</t>
        </is>
      </c>
      <c r="I25" s="10" t="str"/>
      <c r="J25" s="10" t="str"/>
      <c r="K25" s="10" t="str"/>
    </row>
    <row r="26" ht="55" customHeight="1">
      <c r="A26" s="5" t="inlineStr">
        <is>
          <t>AT20</t>
        </is>
      </c>
      <c r="B26" s="5" t="inlineStr">
        <is>
          <t>SG5</t>
        </is>
      </c>
      <c r="C26" s="5" t="inlineStr">
        <is>
          <t>R08</t>
        </is>
      </c>
      <c r="D26" s="5" t="inlineStr">
        <is>
          <t>Offline and conflicts</t>
        </is>
      </c>
      <c r="E26" s="5" t="inlineStr">
        <is>
          <t>Assigned worker drafts offline; newer online plan exists; retry sync; logout.</t>
        </is>
      </c>
      <c r="F26" s="5" t="inlineStr">
        <is>
          <t>One visit per operation ID; conflict cannot overwrite clinical plan; visible pending/failed; local data cleared as designed.</t>
        </is>
      </c>
      <c r="G26" s="5" t="inlineStr">
        <is>
          <t>Tech lead</t>
        </is>
      </c>
      <c r="H26" s="10" t="inlineStr">
        <is>
          <t>Not run</t>
        </is>
      </c>
      <c r="I26" s="10" t="str"/>
      <c r="J26" s="10" t="str"/>
      <c r="K26" s="10" t="str"/>
    </row>
    <row r="27" ht="55" customHeight="1">
      <c r="A27" s="9" t="inlineStr">
        <is>
          <t>AT21</t>
        </is>
      </c>
      <c r="B27" s="9" t="inlineStr">
        <is>
          <t>SG5</t>
        </is>
      </c>
      <c r="C27" s="9" t="inlineStr">
        <is>
          <t>R06</t>
        </is>
      </c>
      <c r="D27" s="9" t="inlineStr">
        <is>
          <t>Content governance</t>
        </is>
      </c>
      <c r="E27" s="9" t="inlineStr">
        <is>
          <t>Review 12 topic packages; publish/withdraw one version; use previously cached public content.</t>
        </is>
      </c>
      <c r="F27" s="9" t="inlineStr">
        <is>
          <t>Only approved versions newly distributed; text/audio and language match; cache expiry/withdrawal follows documented limits.</t>
        </is>
      </c>
      <c r="G27" s="9" t="inlineStr">
        <is>
          <t>Doctor + Pediatric reviewer</t>
        </is>
      </c>
      <c r="H27" s="10" t="inlineStr">
        <is>
          <t>Not run</t>
        </is>
      </c>
      <c r="I27" s="10" t="str"/>
      <c r="J27" s="10" t="str"/>
      <c r="K27" s="10" t="str"/>
    </row>
    <row r="28" ht="55" customHeight="1">
      <c r="A28" s="5" t="inlineStr">
        <is>
          <t>AT22</t>
        </is>
      </c>
      <c r="B28" s="5" t="inlineStr">
        <is>
          <t>SG5</t>
        </is>
      </c>
      <c r="C28" s="5" t="inlineStr">
        <is>
          <t>R07</t>
        </is>
      </c>
      <c r="D28" s="5" t="inlineStr">
        <is>
          <t>Privacy and rights</t>
        </is>
      </c>
      <c r="E28" s="5" t="inlineStr">
        <is>
          <t>Request correction/export/deletion review/grievance; try guessed file/record URL.</t>
        </is>
      </c>
      <c r="F28" s="5" t="inlineStr">
        <is>
          <t>Owned request and response history; scoped export; no automatic clinical record deletion; unauthorized download denied.</t>
        </is>
      </c>
      <c r="G28" s="5" t="inlineStr">
        <is>
          <t>Team lead + Tech lead</t>
        </is>
      </c>
      <c r="H28" s="10" t="inlineStr">
        <is>
          <t>Not run</t>
        </is>
      </c>
      <c r="I28" s="10" t="str"/>
      <c r="J28" s="10" t="str"/>
      <c r="K28" s="10" t="str"/>
    </row>
    <row r="29" ht="40" customHeight="1">
      <c r="A29" s="9" t="inlineStr">
        <is>
          <t>AT23</t>
        </is>
      </c>
      <c r="B29" s="9" t="inlineStr">
        <is>
          <t>SG5</t>
        </is>
      </c>
      <c r="C29" s="9" t="inlineStr">
        <is>
          <t>R10 R11 R12</t>
        </is>
      </c>
      <c r="D29" s="9" t="inlineStr">
        <is>
          <t>Operational dashboard</t>
        </is>
      </c>
      <c r="E29" s="9" t="inlineStr">
        <is>
          <t>Create missed visit, failed message and overdue inbox case; worker unavailable.</t>
        </is>
      </c>
      <c r="F29" s="9" t="inlineStr">
        <is>
          <t>Owner/backup, actionable failure queue, last-updated time, pause switch and administrative metrics visible.</t>
        </is>
      </c>
      <c r="G29" s="9" t="inlineStr">
        <is>
          <t>Team lead</t>
        </is>
      </c>
      <c r="H29" s="10" t="inlineStr">
        <is>
          <t>Not run</t>
        </is>
      </c>
      <c r="I29" s="10" t="str"/>
      <c r="J29" s="10" t="str"/>
      <c r="K29" s="10" t="str"/>
    </row>
    <row r="30" ht="55" customHeight="1">
      <c r="A30" s="5" t="inlineStr">
        <is>
          <t>AT24</t>
        </is>
      </c>
      <c r="B30" s="5" t="inlineStr">
        <is>
          <t>SG6</t>
        </is>
      </c>
      <c r="C30" s="5" t="inlineStr">
        <is>
          <t>R08 R12</t>
        </is>
      </c>
      <c r="D30" s="5" t="inlineStr">
        <is>
          <t>Representative usability</t>
        </is>
      </c>
      <c r="E30" s="5" t="inlineStr">
        <is>
          <t>Observe 3 rural and 3 semi-urban users including shared-phone/limited-literacy cases; next action/audio/help.</t>
        </is>
      </c>
      <c r="F30" s="5" t="inlineStr">
        <is>
          <t>At least 5/6 succeed with intended assistance and no safety-critical misunderstanding; failures fixed/retested.</t>
        </is>
      </c>
      <c r="G30" s="5" t="inlineStr">
        <is>
          <t>Tester + Doctor</t>
        </is>
      </c>
      <c r="H30" s="10" t="inlineStr">
        <is>
          <t>Not run</t>
        </is>
      </c>
      <c r="I30" s="10" t="str"/>
      <c r="J30" s="10" t="str"/>
      <c r="K30" s="10" t="str"/>
    </row>
    <row r="31" ht="55" customHeight="1">
      <c r="A31" s="9" t="inlineStr">
        <is>
          <t>AT25</t>
        </is>
      </c>
      <c r="B31" s="9" t="inlineStr">
        <is>
          <t>SG6</t>
        </is>
      </c>
      <c r="C31" s="9" t="inlineStr">
        <is>
          <t>R10</t>
        </is>
      </c>
      <c r="D31" s="9" t="inlineStr">
        <is>
          <t>Restore and rollback</t>
        </is>
      </c>
      <c r="E31" s="9" t="inlineStr">
        <is>
          <t>Restore records/media/config in isolated staging; verify integrity; rehearse reversible release rollback.</t>
        </is>
      </c>
      <c r="F31" s="9" t="inlineStr">
        <is>
          <t>Measured recovery meets approved RPO ≤24h/RTO ≤4h targets; audit and pending jobs reconciled without resend.</t>
        </is>
      </c>
      <c r="G31" s="9" t="inlineStr">
        <is>
          <t>Tech lead</t>
        </is>
      </c>
      <c r="H31" s="10" t="inlineStr">
        <is>
          <t>Not run</t>
        </is>
      </c>
      <c r="I31" s="10" t="str"/>
      <c r="J31" s="10" t="str"/>
      <c r="K31" s="10" t="str"/>
    </row>
    <row r="32" ht="55" customHeight="1">
      <c r="A32" s="5" t="inlineStr">
        <is>
          <t>AT26</t>
        </is>
      </c>
      <c r="B32" s="5" t="inlineStr">
        <is>
          <t>SG6</t>
        </is>
      </c>
      <c r="C32" s="5" t="inlineStr">
        <is>
          <t>R12</t>
        </is>
      </c>
      <c r="D32" s="5" t="inlineStr">
        <is>
          <t>Load and weak network</t>
        </is>
      </c>
      <c r="E32" s="5" t="inlineStr">
        <is>
          <t>Use 100 synthetic records, 10 concurrent staff, 200 scheduled messages/day; record network and run length.</t>
        </is>
      </c>
      <c r="F32" s="5" t="inlineStr">
        <is>
          <t>Proposed p95 core non-media views ≤3s under agreed profile; no lost/duplicate jobs; weak network errors recover.</t>
        </is>
      </c>
      <c r="G32" s="5" t="inlineStr">
        <is>
          <t>Tech lead + Tester</t>
        </is>
      </c>
      <c r="H32" s="10" t="inlineStr">
        <is>
          <t>Not run</t>
        </is>
      </c>
      <c r="I32" s="10" t="str"/>
      <c r="J32" s="10" t="str"/>
      <c r="K32" s="10" t="str"/>
    </row>
    <row r="33" ht="40" customHeight="1">
      <c r="A33" s="9" t="inlineStr">
        <is>
          <t>AT27</t>
        </is>
      </c>
      <c r="B33" s="9" t="inlineStr">
        <is>
          <t>SG6</t>
        </is>
      </c>
      <c r="C33" s="9" t="inlineStr">
        <is>
          <t>R11</t>
        </is>
      </c>
      <c r="D33" s="9" t="inlineStr">
        <is>
          <t>Support and stop rehearsal</t>
        </is>
      </c>
      <c r="E33" s="9" t="inlineStr">
        <is>
          <t>Simulate after-hours request, absent worker, disclosure concern and message-delivery outage.</t>
        </is>
      </c>
      <c r="F33" s="9" t="inlineStr">
        <is>
          <t>Named coordinator, backup, clinical contact and stop procedure work; hours/fallback visible.</t>
        </is>
      </c>
      <c r="G33" s="9" t="inlineStr">
        <is>
          <t>Facility owner</t>
        </is>
      </c>
      <c r="H33" s="10" t="inlineStr">
        <is>
          <t>Not run</t>
        </is>
      </c>
      <c r="I33" s="10" t="str"/>
      <c r="J33" s="10" t="str"/>
      <c r="K33" s="10" t="str"/>
    </row>
    <row r="34" ht="55" customHeight="1">
      <c r="A34" s="5" t="inlineStr">
        <is>
          <t>AT28</t>
        </is>
      </c>
      <c r="B34" s="5" t="inlineStr">
        <is>
          <t>SG2</t>
        </is>
      </c>
      <c r="C34" s="5" t="inlineStr">
        <is>
          <t>R02 R07</t>
        </is>
      </c>
      <c r="D34" s="5" t="inlineStr">
        <is>
          <t>Patient/caregiver access</t>
        </is>
      </c>
      <c r="E34" s="5" t="inlineStr">
        <is>
          <t>Confirm subject identity on shared phone; grant/revoke adult delegation; test another person on same handset.</t>
        </is>
      </c>
      <c r="F34" s="5" t="inlineStr">
        <is>
          <t>Only authorized subject records; immediate revocation on next request; safe minimal notifications.</t>
        </is>
      </c>
      <c r="G34" s="5" t="inlineStr">
        <is>
          <t>Tech lead</t>
        </is>
      </c>
      <c r="H34" s="10" t="inlineStr">
        <is>
          <t>Not run</t>
        </is>
      </c>
      <c r="I34" s="10" t="str"/>
      <c r="J34" s="10" t="str"/>
      <c r="K34" s="10" t="str"/>
    </row>
    <row r="35" ht="40" customHeight="1">
      <c r="A35" s="9" t="inlineStr">
        <is>
          <t>AT29</t>
        </is>
      </c>
      <c r="B35" s="9" t="inlineStr">
        <is>
          <t>SG4</t>
        </is>
      </c>
      <c r="C35" s="9" t="inlineStr">
        <is>
          <t>R02 R04</t>
        </is>
      </c>
      <c r="D35" s="9" t="inlineStr">
        <is>
          <t>Child with incomplete history</t>
        </is>
      </c>
      <c r="E35" s="9" t="inlineStr">
        <is>
          <t>Register existing child without known pregnancy dates or episode; verify guardian authority.</t>
        </is>
      </c>
      <c r="F35" s="9" t="inlineStr">
        <is>
          <t>No fabricated pregnancy/history; explicit mother/guardian links; unverified guardian cannot view child records.</t>
        </is>
      </c>
      <c r="G35" s="9" t="inlineStr">
        <is>
          <t>Pediatric reviewer</t>
        </is>
      </c>
      <c r="H35" s="10" t="inlineStr">
        <is>
          <t>Not run</t>
        </is>
      </c>
      <c r="I35" s="10" t="str"/>
      <c r="J35" s="10" t="str"/>
      <c r="K35" s="10" t="str"/>
    </row>
    <row r="36" ht="40" customHeight="1">
      <c r="A36" s="5" t="inlineStr">
        <is>
          <t>AT30</t>
        </is>
      </c>
      <c r="B36" s="5" t="inlineStr">
        <is>
          <t>SG5</t>
        </is>
      </c>
      <c r="C36" s="5" t="inlineStr">
        <is>
          <t>R01 R10</t>
        </is>
      </c>
      <c r="D36" s="5" t="inlineStr">
        <is>
          <t>Durable job recovery</t>
        </is>
      </c>
      <c r="E36" s="5" t="inlineStr">
        <is>
          <t>Restart API/worker mid-job; run two workers in test; cancel and retry job.</t>
        </is>
      </c>
      <c r="F36" s="5" t="inlineStr">
        <is>
          <t>Durable ownership/leases, dedup and reconciliation; no process-local correctness dependency.</t>
        </is>
      </c>
      <c r="G36" s="5" t="inlineStr">
        <is>
          <t>Tech lead</t>
        </is>
      </c>
      <c r="H36" s="10" t="inlineStr">
        <is>
          <t>Not run</t>
        </is>
      </c>
      <c r="I36" s="10" t="str"/>
      <c r="J36" s="10" t="str"/>
      <c r="K36" s="10" t="str"/>
    </row>
    <row r="37" ht="55" customHeight="1">
      <c r="A37" s="9" t="inlineStr">
        <is>
          <t>AT31</t>
        </is>
      </c>
      <c r="B37" s="9" t="inlineStr">
        <is>
          <t>SG5</t>
        </is>
      </c>
      <c r="C37" s="9" t="inlineStr">
        <is>
          <t>R09</t>
        </is>
      </c>
      <c r="D37" s="9" t="inlineStr">
        <is>
          <t>AI-disabled behavior</t>
        </is>
      </c>
      <c r="E37" s="9" t="inlineStr">
        <is>
          <t>Disable all optional AI/provider features and execute core journeys and help routing.</t>
        </is>
      </c>
      <c r="F37" s="9" t="inlineStr">
        <is>
          <t>Essential tasks, approved education and human routing still work; no scoring, diagnosis or medical interpretation.</t>
        </is>
      </c>
      <c r="G37" s="9" t="inlineStr">
        <is>
          <t>Doctor + Tech lead</t>
        </is>
      </c>
      <c r="H37" s="10" t="inlineStr">
        <is>
          <t>Not run</t>
        </is>
      </c>
      <c r="I37" s="10" t="str"/>
      <c r="J37" s="10" t="str"/>
      <c r="K37" s="10" t="str"/>
    </row>
    <row r="38" ht="40" customHeight="1">
      <c r="A38" s="5" t="inlineStr">
        <is>
          <t>AT32</t>
        </is>
      </c>
      <c r="B38" s="5" t="inlineStr">
        <is>
          <t>SG5</t>
        </is>
      </c>
      <c r="C38" s="5" t="inlineStr">
        <is>
          <t>R07 R10</t>
        </is>
      </c>
      <c r="D38" s="5" t="inlineStr">
        <is>
          <t>Files, logs and exports</t>
        </is>
      </c>
      <c r="E38" s="5" t="inlineStr">
        <is>
          <t>Test disallowed upload, signed-link expiry, spreadsheet-like input and sensitive log paths.</t>
        </is>
      </c>
      <c r="F38" s="5" t="inlineStr">
        <is>
          <t>Validated private files; minimal logs; safe scoped export; no secrets or patient text in diagnostics.</t>
        </is>
      </c>
      <c r="G38" s="5" t="inlineStr">
        <is>
          <t>Tech lead</t>
        </is>
      </c>
      <c r="H38" s="10" t="inlineStr">
        <is>
          <t>Not run</t>
        </is>
      </c>
      <c r="I38" s="10" t="str"/>
      <c r="J38" s="10" t="str"/>
      <c r="K38" s="10" t="str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conditionalFormatting sqref="A7:K38">
    <cfRule type="expression" priority="1" dxfId="1">
      <formula>AND($H7="Pass",OR($I7="",$J7="",$K7=""))</formula>
    </cfRule>
  </conditionalFormatting>
  <dataValidations count="1">
    <dataValidation sqref="H7:H38" showDropDown="0" showInputMessage="0" showErrorMessage="0" allowBlank="0" type="list">
      <formula1>"Not run,Pass,Fail,Blocked"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0" customWidth="1" min="1" max="1"/>
    <col width="20" customWidth="1" min="2" max="2"/>
    <col width="17" customWidth="1" min="3" max="3"/>
    <col width="17" customWidth="1" min="4" max="4"/>
    <col width="18" customWidth="1" min="5" max="5"/>
    <col width="80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2" t="inlineStr">
        <is>
          <t>Weekly capacity and estimates</t>
        </is>
      </c>
      <c r="B2" s="1" t="n"/>
      <c r="C2" s="1" t="n"/>
      <c r="D2" s="1" t="n"/>
      <c r="E2" s="1" t="n"/>
      <c r="F2" s="1" t="n"/>
    </row>
    <row r="3">
      <c r="A3" s="3" t="inlineStr">
        <is>
          <t>Edit available hours to the confirmed commitment. Negative balance requires reassignment or a revised date.</t>
        </is>
      </c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 ht="34" customHeight="1">
      <c r="A6" s="8" t="inlineStr">
        <is>
          <t>Week</t>
        </is>
      </c>
      <c r="B6" s="8" t="inlineStr">
        <is>
          <t>Role</t>
        </is>
      </c>
      <c r="C6" s="8" t="inlineStr">
        <is>
          <t>Available h</t>
        </is>
      </c>
      <c r="D6" s="8" t="inlineStr">
        <is>
          <t>Planned h</t>
        </is>
      </c>
      <c r="E6" s="8" t="inlineStr">
        <is>
          <t>Remaining h</t>
        </is>
      </c>
      <c r="F6" s="8" t="inlineStr">
        <is>
          <t>Action / decision</t>
        </is>
      </c>
    </row>
    <row r="7" ht="36" customHeight="1">
      <c r="A7" s="9" t="n">
        <v>1</v>
      </c>
      <c r="B7" s="9" t="inlineStr">
        <is>
          <t>Team lead</t>
        </is>
      </c>
      <c r="C7" s="31" t="n">
        <v>10</v>
      </c>
      <c r="D7" s="30">
        <f>SUMIFS(Tasks!$E$7:$E$68,Tasks!$B$7:$B$68,A7,Tasks!$D$7:$D$68,B7)</f>
        <v/>
      </c>
      <c r="E7" s="30">
        <f>C7-D7</f>
        <v/>
      </c>
      <c r="F7" s="10" t="str"/>
    </row>
    <row r="8" ht="36" customHeight="1">
      <c r="A8" s="5" t="n">
        <v>1</v>
      </c>
      <c r="B8" s="5" t="inlineStr">
        <is>
          <t>Tech lead</t>
        </is>
      </c>
      <c r="C8" s="31" t="n">
        <v>10</v>
      </c>
      <c r="D8" s="32">
        <f>SUMIFS(Tasks!$E$7:$E$68,Tasks!$B$7:$B$68,A8,Tasks!$D$7:$D$68,B8)</f>
        <v/>
      </c>
      <c r="E8" s="32">
        <f>C8-D8</f>
        <v/>
      </c>
      <c r="F8" s="10" t="str"/>
    </row>
    <row r="9" ht="36" customHeight="1">
      <c r="A9" s="9" t="n">
        <v>1</v>
      </c>
      <c r="B9" s="9" t="inlineStr">
        <is>
          <t>Developer</t>
        </is>
      </c>
      <c r="C9" s="31" t="n">
        <v>25</v>
      </c>
      <c r="D9" s="30">
        <f>SUMIFS(Tasks!$E$7:$E$68,Tasks!$B$7:$B$68,A9,Tasks!$D$7:$D$68,B9)</f>
        <v/>
      </c>
      <c r="E9" s="30">
        <f>C9-D9</f>
        <v/>
      </c>
      <c r="F9" s="10" t="str"/>
    </row>
    <row r="10" ht="36" customHeight="1">
      <c r="A10" s="5" t="n">
        <v>1</v>
      </c>
      <c r="B10" s="5" t="inlineStr">
        <is>
          <t>Doctor</t>
        </is>
      </c>
      <c r="C10" s="31" t="n">
        <v>2</v>
      </c>
      <c r="D10" s="32">
        <f>SUMIFS(Tasks!$E$7:$E$68,Tasks!$B$7:$B$68,A10,Tasks!$D$7:$D$68,B10)</f>
        <v/>
      </c>
      <c r="E10" s="32">
        <f>C10-D10</f>
        <v/>
      </c>
      <c r="F10" s="10" t="str"/>
    </row>
    <row r="11" ht="36" customHeight="1">
      <c r="A11" s="9" t="n">
        <v>1</v>
      </c>
      <c r="B11" s="9" t="inlineStr">
        <is>
          <t>Tester</t>
        </is>
      </c>
      <c r="C11" s="31" t="n">
        <v>0</v>
      </c>
      <c r="D11" s="30">
        <f>SUMIFS(Tasks!$E$7:$E$68,Tasks!$B$7:$B$68,A11,Tasks!$D$7:$D$68,B11)</f>
        <v/>
      </c>
      <c r="E11" s="30">
        <f>C11-D11</f>
        <v/>
      </c>
      <c r="F11" s="10" t="str"/>
    </row>
    <row r="12" ht="36" customHeight="1">
      <c r="A12" s="5" t="n">
        <v>2</v>
      </c>
      <c r="B12" s="5" t="inlineStr">
        <is>
          <t>Team lead</t>
        </is>
      </c>
      <c r="C12" s="31" t="n">
        <v>10</v>
      </c>
      <c r="D12" s="32">
        <f>SUMIFS(Tasks!$E$7:$E$68,Tasks!$B$7:$B$68,A12,Tasks!$D$7:$D$68,B12)</f>
        <v/>
      </c>
      <c r="E12" s="32">
        <f>C12-D12</f>
        <v/>
      </c>
      <c r="F12" s="10" t="str"/>
    </row>
    <row r="13" ht="36" customHeight="1">
      <c r="A13" s="9" t="n">
        <v>2</v>
      </c>
      <c r="B13" s="9" t="inlineStr">
        <is>
          <t>Tech lead</t>
        </is>
      </c>
      <c r="C13" s="31" t="n">
        <v>10</v>
      </c>
      <c r="D13" s="30">
        <f>SUMIFS(Tasks!$E$7:$E$68,Tasks!$B$7:$B$68,A13,Tasks!$D$7:$D$68,B13)</f>
        <v/>
      </c>
      <c r="E13" s="30">
        <f>C13-D13</f>
        <v/>
      </c>
      <c r="F13" s="10" t="str"/>
    </row>
    <row r="14" ht="36" customHeight="1">
      <c r="A14" s="5" t="n">
        <v>2</v>
      </c>
      <c r="B14" s="5" t="inlineStr">
        <is>
          <t>Developer</t>
        </is>
      </c>
      <c r="C14" s="31" t="n">
        <v>25</v>
      </c>
      <c r="D14" s="32">
        <f>SUMIFS(Tasks!$E$7:$E$68,Tasks!$B$7:$B$68,A14,Tasks!$D$7:$D$68,B14)</f>
        <v/>
      </c>
      <c r="E14" s="32">
        <f>C14-D14</f>
        <v/>
      </c>
      <c r="F14" s="10" t="str"/>
    </row>
    <row r="15" ht="36" customHeight="1">
      <c r="A15" s="9" t="n">
        <v>2</v>
      </c>
      <c r="B15" s="9" t="inlineStr">
        <is>
          <t>Doctor</t>
        </is>
      </c>
      <c r="C15" s="31" t="n">
        <v>2</v>
      </c>
      <c r="D15" s="30">
        <f>SUMIFS(Tasks!$E$7:$E$68,Tasks!$B$7:$B$68,A15,Tasks!$D$7:$D$68,B15)</f>
        <v/>
      </c>
      <c r="E15" s="30">
        <f>C15-D15</f>
        <v/>
      </c>
      <c r="F15" s="10" t="str"/>
    </row>
    <row r="16" ht="36" customHeight="1">
      <c r="A16" s="5" t="n">
        <v>2</v>
      </c>
      <c r="B16" s="5" t="inlineStr">
        <is>
          <t>Tester</t>
        </is>
      </c>
      <c r="C16" s="31" t="n">
        <v>4</v>
      </c>
      <c r="D16" s="32">
        <f>SUMIFS(Tasks!$E$7:$E$68,Tasks!$B$7:$B$68,A16,Tasks!$D$7:$D$68,B16)</f>
        <v/>
      </c>
      <c r="E16" s="32">
        <f>C16-D16</f>
        <v/>
      </c>
      <c r="F16" s="10" t="str"/>
    </row>
    <row r="17" ht="36" customHeight="1">
      <c r="A17" s="9" t="n">
        <v>3</v>
      </c>
      <c r="B17" s="9" t="inlineStr">
        <is>
          <t>Team lead</t>
        </is>
      </c>
      <c r="C17" s="31" t="n">
        <v>10</v>
      </c>
      <c r="D17" s="30">
        <f>SUMIFS(Tasks!$E$7:$E$68,Tasks!$B$7:$B$68,A17,Tasks!$D$7:$D$68,B17)</f>
        <v/>
      </c>
      <c r="E17" s="30">
        <f>C17-D17</f>
        <v/>
      </c>
      <c r="F17" s="10" t="str"/>
    </row>
    <row r="18" ht="36" customHeight="1">
      <c r="A18" s="5" t="n">
        <v>3</v>
      </c>
      <c r="B18" s="5" t="inlineStr">
        <is>
          <t>Tech lead</t>
        </is>
      </c>
      <c r="C18" s="31" t="n">
        <v>10</v>
      </c>
      <c r="D18" s="32">
        <f>SUMIFS(Tasks!$E$7:$E$68,Tasks!$B$7:$B$68,A18,Tasks!$D$7:$D$68,B18)</f>
        <v/>
      </c>
      <c r="E18" s="32">
        <f>C18-D18</f>
        <v/>
      </c>
      <c r="F18" s="10" t="str"/>
    </row>
    <row r="19" ht="36" customHeight="1">
      <c r="A19" s="9" t="n">
        <v>3</v>
      </c>
      <c r="B19" s="9" t="inlineStr">
        <is>
          <t>Developer</t>
        </is>
      </c>
      <c r="C19" s="31" t="n">
        <v>25</v>
      </c>
      <c r="D19" s="30">
        <f>SUMIFS(Tasks!$E$7:$E$68,Tasks!$B$7:$B$68,A19,Tasks!$D$7:$D$68,B19)</f>
        <v/>
      </c>
      <c r="E19" s="30">
        <f>C19-D19</f>
        <v/>
      </c>
      <c r="F19" s="10" t="str"/>
    </row>
    <row r="20" ht="36" customHeight="1">
      <c r="A20" s="5" t="n">
        <v>3</v>
      </c>
      <c r="B20" s="5" t="inlineStr">
        <is>
          <t>Doctor</t>
        </is>
      </c>
      <c r="C20" s="31" t="n">
        <v>2</v>
      </c>
      <c r="D20" s="32">
        <f>SUMIFS(Tasks!$E$7:$E$68,Tasks!$B$7:$B$68,A20,Tasks!$D$7:$D$68,B20)</f>
        <v/>
      </c>
      <c r="E20" s="32">
        <f>C20-D20</f>
        <v/>
      </c>
      <c r="F20" s="10" t="str"/>
    </row>
    <row r="21" ht="36" customHeight="1">
      <c r="A21" s="9" t="n">
        <v>3</v>
      </c>
      <c r="B21" s="9" t="inlineStr">
        <is>
          <t>Tester</t>
        </is>
      </c>
      <c r="C21" s="31" t="n">
        <v>4</v>
      </c>
      <c r="D21" s="30">
        <f>SUMIFS(Tasks!$E$7:$E$68,Tasks!$B$7:$B$68,A21,Tasks!$D$7:$D$68,B21)</f>
        <v/>
      </c>
      <c r="E21" s="30">
        <f>C21-D21</f>
        <v/>
      </c>
      <c r="F21" s="10" t="str"/>
    </row>
    <row r="22" ht="36" customHeight="1">
      <c r="A22" s="5" t="n">
        <v>4</v>
      </c>
      <c r="B22" s="5" t="inlineStr">
        <is>
          <t>Team lead</t>
        </is>
      </c>
      <c r="C22" s="31" t="n">
        <v>10</v>
      </c>
      <c r="D22" s="32">
        <f>SUMIFS(Tasks!$E$7:$E$68,Tasks!$B$7:$B$68,A22,Tasks!$D$7:$D$68,B22)</f>
        <v/>
      </c>
      <c r="E22" s="32">
        <f>C22-D22</f>
        <v/>
      </c>
      <c r="F22" s="10" t="str"/>
    </row>
    <row r="23" ht="36" customHeight="1">
      <c r="A23" s="9" t="n">
        <v>4</v>
      </c>
      <c r="B23" s="9" t="inlineStr">
        <is>
          <t>Tech lead</t>
        </is>
      </c>
      <c r="C23" s="31" t="n">
        <v>10</v>
      </c>
      <c r="D23" s="30">
        <f>SUMIFS(Tasks!$E$7:$E$68,Tasks!$B$7:$B$68,A23,Tasks!$D$7:$D$68,B23)</f>
        <v/>
      </c>
      <c r="E23" s="30">
        <f>C23-D23</f>
        <v/>
      </c>
      <c r="F23" s="10" t="str"/>
    </row>
    <row r="24" ht="36" customHeight="1">
      <c r="A24" s="5" t="n">
        <v>4</v>
      </c>
      <c r="B24" s="5" t="inlineStr">
        <is>
          <t>Developer</t>
        </is>
      </c>
      <c r="C24" s="31" t="n">
        <v>25</v>
      </c>
      <c r="D24" s="32">
        <f>SUMIFS(Tasks!$E$7:$E$68,Tasks!$B$7:$B$68,A24,Tasks!$D$7:$D$68,B24)</f>
        <v/>
      </c>
      <c r="E24" s="32">
        <f>C24-D24</f>
        <v/>
      </c>
      <c r="F24" s="10" t="str"/>
    </row>
    <row r="25" ht="36" customHeight="1">
      <c r="A25" s="9" t="n">
        <v>4</v>
      </c>
      <c r="B25" s="9" t="inlineStr">
        <is>
          <t>Doctor</t>
        </is>
      </c>
      <c r="C25" s="31" t="n">
        <v>2</v>
      </c>
      <c r="D25" s="30">
        <f>SUMIFS(Tasks!$E$7:$E$68,Tasks!$B$7:$B$68,A25,Tasks!$D$7:$D$68,B25)</f>
        <v/>
      </c>
      <c r="E25" s="30">
        <f>C25-D25</f>
        <v/>
      </c>
      <c r="F25" s="10" t="str"/>
    </row>
    <row r="26" ht="36" customHeight="1">
      <c r="A26" s="5" t="n">
        <v>4</v>
      </c>
      <c r="B26" s="5" t="inlineStr">
        <is>
          <t>Tester</t>
        </is>
      </c>
      <c r="C26" s="31" t="n">
        <v>4</v>
      </c>
      <c r="D26" s="32">
        <f>SUMIFS(Tasks!$E$7:$E$68,Tasks!$B$7:$B$68,A26,Tasks!$D$7:$D$68,B26)</f>
        <v/>
      </c>
      <c r="E26" s="32">
        <f>C26-D26</f>
        <v/>
      </c>
      <c r="F26" s="10" t="str"/>
    </row>
    <row r="27" ht="36" customHeight="1">
      <c r="A27" s="9" t="n">
        <v>5</v>
      </c>
      <c r="B27" s="9" t="inlineStr">
        <is>
          <t>Team lead</t>
        </is>
      </c>
      <c r="C27" s="31" t="n">
        <v>10</v>
      </c>
      <c r="D27" s="30">
        <f>SUMIFS(Tasks!$E$7:$E$68,Tasks!$B$7:$B$68,A27,Tasks!$D$7:$D$68,B27)</f>
        <v/>
      </c>
      <c r="E27" s="30">
        <f>C27-D27</f>
        <v/>
      </c>
      <c r="F27" s="10" t="str"/>
    </row>
    <row r="28" ht="36" customHeight="1">
      <c r="A28" s="5" t="n">
        <v>5</v>
      </c>
      <c r="B28" s="5" t="inlineStr">
        <is>
          <t>Tech lead</t>
        </is>
      </c>
      <c r="C28" s="31" t="n">
        <v>10</v>
      </c>
      <c r="D28" s="32">
        <f>SUMIFS(Tasks!$E$7:$E$68,Tasks!$B$7:$B$68,A28,Tasks!$D$7:$D$68,B28)</f>
        <v/>
      </c>
      <c r="E28" s="32">
        <f>C28-D28</f>
        <v/>
      </c>
      <c r="F28" s="10" t="str"/>
    </row>
    <row r="29" ht="36" customHeight="1">
      <c r="A29" s="9" t="n">
        <v>5</v>
      </c>
      <c r="B29" s="9" t="inlineStr">
        <is>
          <t>Developer</t>
        </is>
      </c>
      <c r="C29" s="31" t="n">
        <v>25</v>
      </c>
      <c r="D29" s="30">
        <f>SUMIFS(Tasks!$E$7:$E$68,Tasks!$B$7:$B$68,A29,Tasks!$D$7:$D$68,B29)</f>
        <v/>
      </c>
      <c r="E29" s="30">
        <f>C29-D29</f>
        <v/>
      </c>
      <c r="F29" s="10" t="str"/>
    </row>
    <row r="30" ht="36" customHeight="1">
      <c r="A30" s="5" t="n">
        <v>5</v>
      </c>
      <c r="B30" s="5" t="inlineStr">
        <is>
          <t>Doctor</t>
        </is>
      </c>
      <c r="C30" s="31" t="n">
        <v>2</v>
      </c>
      <c r="D30" s="32">
        <f>SUMIFS(Tasks!$E$7:$E$68,Tasks!$B$7:$B$68,A30,Tasks!$D$7:$D$68,B30)</f>
        <v/>
      </c>
      <c r="E30" s="32">
        <f>C30-D30</f>
        <v/>
      </c>
      <c r="F30" s="10" t="str"/>
    </row>
    <row r="31" ht="36" customHeight="1">
      <c r="A31" s="9" t="n">
        <v>5</v>
      </c>
      <c r="B31" s="9" t="inlineStr">
        <is>
          <t>Tester</t>
        </is>
      </c>
      <c r="C31" s="31" t="n">
        <v>6</v>
      </c>
      <c r="D31" s="30">
        <f>SUMIFS(Tasks!$E$7:$E$68,Tasks!$B$7:$B$68,A31,Tasks!$D$7:$D$68,B31)</f>
        <v/>
      </c>
      <c r="E31" s="30">
        <f>C31-D31</f>
        <v/>
      </c>
      <c r="F31" s="10" t="str"/>
    </row>
    <row r="32" ht="36" customHeight="1">
      <c r="A32" s="5" t="n">
        <v>6</v>
      </c>
      <c r="B32" s="5" t="inlineStr">
        <is>
          <t>Team lead</t>
        </is>
      </c>
      <c r="C32" s="31" t="n">
        <v>10</v>
      </c>
      <c r="D32" s="32">
        <f>SUMIFS(Tasks!$E$7:$E$68,Tasks!$B$7:$B$68,A32,Tasks!$D$7:$D$68,B32)</f>
        <v/>
      </c>
      <c r="E32" s="32">
        <f>C32-D32</f>
        <v/>
      </c>
      <c r="F32" s="10" t="str"/>
    </row>
    <row r="33" ht="36" customHeight="1">
      <c r="A33" s="9" t="n">
        <v>6</v>
      </c>
      <c r="B33" s="9" t="inlineStr">
        <is>
          <t>Tech lead</t>
        </is>
      </c>
      <c r="C33" s="31" t="n">
        <v>10</v>
      </c>
      <c r="D33" s="30">
        <f>SUMIFS(Tasks!$E$7:$E$68,Tasks!$B$7:$B$68,A33,Tasks!$D$7:$D$68,B33)</f>
        <v/>
      </c>
      <c r="E33" s="30">
        <f>C33-D33</f>
        <v/>
      </c>
      <c r="F33" s="10" t="str"/>
    </row>
    <row r="34" ht="36" customHeight="1">
      <c r="A34" s="5" t="n">
        <v>6</v>
      </c>
      <c r="B34" s="5" t="inlineStr">
        <is>
          <t>Developer</t>
        </is>
      </c>
      <c r="C34" s="31" t="n">
        <v>25</v>
      </c>
      <c r="D34" s="32">
        <f>SUMIFS(Tasks!$E$7:$E$68,Tasks!$B$7:$B$68,A34,Tasks!$D$7:$D$68,B34)</f>
        <v/>
      </c>
      <c r="E34" s="32">
        <f>C34-D34</f>
        <v/>
      </c>
      <c r="F34" s="10" t="str"/>
    </row>
    <row r="35" ht="36" customHeight="1">
      <c r="A35" s="9" t="n">
        <v>6</v>
      </c>
      <c r="B35" s="9" t="inlineStr">
        <is>
          <t>Doctor</t>
        </is>
      </c>
      <c r="C35" s="31" t="n">
        <v>2</v>
      </c>
      <c r="D35" s="30">
        <f>SUMIFS(Tasks!$E$7:$E$68,Tasks!$B$7:$B$68,A35,Tasks!$D$7:$D$68,B35)</f>
        <v/>
      </c>
      <c r="E35" s="30">
        <f>C35-D35</f>
        <v/>
      </c>
      <c r="F35" s="10" t="str"/>
    </row>
    <row r="36" ht="36" customHeight="1">
      <c r="A36" s="5" t="n">
        <v>6</v>
      </c>
      <c r="B36" s="5" t="inlineStr">
        <is>
          <t>Tester</t>
        </is>
      </c>
      <c r="C36" s="31" t="n">
        <v>6</v>
      </c>
      <c r="D36" s="32">
        <f>SUMIFS(Tasks!$E$7:$E$68,Tasks!$B$7:$B$68,A36,Tasks!$D$7:$D$68,B36)</f>
        <v/>
      </c>
      <c r="E36" s="32">
        <f>C36-D36</f>
        <v/>
      </c>
      <c r="F36" s="10" t="str"/>
    </row>
    <row r="37" ht="36" customHeight="1">
      <c r="A37" s="9" t="n">
        <v>7</v>
      </c>
      <c r="B37" s="9" t="inlineStr">
        <is>
          <t>Team lead</t>
        </is>
      </c>
      <c r="C37" s="31" t="n">
        <v>10</v>
      </c>
      <c r="D37" s="30">
        <f>SUMIFS(Tasks!$E$7:$E$68,Tasks!$B$7:$B$68,A37,Tasks!$D$7:$D$68,B37)</f>
        <v/>
      </c>
      <c r="E37" s="30">
        <f>C37-D37</f>
        <v/>
      </c>
      <c r="F37" s="10" t="str"/>
    </row>
    <row r="38" ht="36" customHeight="1">
      <c r="A38" s="5" t="n">
        <v>7</v>
      </c>
      <c r="B38" s="5" t="inlineStr">
        <is>
          <t>Tech lead</t>
        </is>
      </c>
      <c r="C38" s="31" t="n">
        <v>10</v>
      </c>
      <c r="D38" s="32">
        <f>SUMIFS(Tasks!$E$7:$E$68,Tasks!$B$7:$B$68,A38,Tasks!$D$7:$D$68,B38)</f>
        <v/>
      </c>
      <c r="E38" s="32">
        <f>C38-D38</f>
        <v/>
      </c>
      <c r="F38" s="10" t="str"/>
    </row>
    <row r="39" ht="36" customHeight="1">
      <c r="A39" s="9" t="n">
        <v>7</v>
      </c>
      <c r="B39" s="9" t="inlineStr">
        <is>
          <t>Developer</t>
        </is>
      </c>
      <c r="C39" s="31" t="n">
        <v>25</v>
      </c>
      <c r="D39" s="30">
        <f>SUMIFS(Tasks!$E$7:$E$68,Tasks!$B$7:$B$68,A39,Tasks!$D$7:$D$68,B39)</f>
        <v/>
      </c>
      <c r="E39" s="30">
        <f>C39-D39</f>
        <v/>
      </c>
      <c r="F39" s="10" t="str"/>
    </row>
    <row r="40" ht="36" customHeight="1">
      <c r="A40" s="5" t="n">
        <v>7</v>
      </c>
      <c r="B40" s="5" t="inlineStr">
        <is>
          <t>Doctor</t>
        </is>
      </c>
      <c r="C40" s="31" t="n">
        <v>2</v>
      </c>
      <c r="D40" s="32">
        <f>SUMIFS(Tasks!$E$7:$E$68,Tasks!$B$7:$B$68,A40,Tasks!$D$7:$D$68,B40)</f>
        <v/>
      </c>
      <c r="E40" s="32">
        <f>C40-D40</f>
        <v/>
      </c>
      <c r="F40" s="10" t="str"/>
    </row>
    <row r="41" ht="36" customHeight="1">
      <c r="A41" s="9" t="n">
        <v>7</v>
      </c>
      <c r="B41" s="9" t="inlineStr">
        <is>
          <t>Tester</t>
        </is>
      </c>
      <c r="C41" s="31" t="n">
        <v>8</v>
      </c>
      <c r="D41" s="30">
        <f>SUMIFS(Tasks!$E$7:$E$68,Tasks!$B$7:$B$68,A41,Tasks!$D$7:$D$68,B41)</f>
        <v/>
      </c>
      <c r="E41" s="30">
        <f>C41-D41</f>
        <v/>
      </c>
      <c r="F41" s="10" t="str"/>
    </row>
    <row r="42" ht="36" customHeight="1">
      <c r="A42" s="5" t="n">
        <v>8</v>
      </c>
      <c r="B42" s="5" t="inlineStr">
        <is>
          <t>Team lead</t>
        </is>
      </c>
      <c r="C42" s="31" t="n">
        <v>10</v>
      </c>
      <c r="D42" s="32">
        <f>SUMIFS(Tasks!$E$7:$E$68,Tasks!$B$7:$B$68,A42,Tasks!$D$7:$D$68,B42)</f>
        <v/>
      </c>
      <c r="E42" s="32">
        <f>C42-D42</f>
        <v/>
      </c>
      <c r="F42" s="10" t="str"/>
    </row>
    <row r="43" ht="36" customHeight="1">
      <c r="A43" s="9" t="n">
        <v>8</v>
      </c>
      <c r="B43" s="9" t="inlineStr">
        <is>
          <t>Tech lead</t>
        </is>
      </c>
      <c r="C43" s="31" t="n">
        <v>10</v>
      </c>
      <c r="D43" s="30">
        <f>SUMIFS(Tasks!$E$7:$E$68,Tasks!$B$7:$B$68,A43,Tasks!$D$7:$D$68,B43)</f>
        <v/>
      </c>
      <c r="E43" s="30">
        <f>C43-D43</f>
        <v/>
      </c>
      <c r="F43" s="10" t="str"/>
    </row>
    <row r="44" ht="36" customHeight="1">
      <c r="A44" s="5" t="n">
        <v>8</v>
      </c>
      <c r="B44" s="5" t="inlineStr">
        <is>
          <t>Developer</t>
        </is>
      </c>
      <c r="C44" s="31" t="n">
        <v>25</v>
      </c>
      <c r="D44" s="32">
        <f>SUMIFS(Tasks!$E$7:$E$68,Tasks!$B$7:$B$68,A44,Tasks!$D$7:$D$68,B44)</f>
        <v/>
      </c>
      <c r="E44" s="32">
        <f>C44-D44</f>
        <v/>
      </c>
      <c r="F44" s="10" t="str"/>
    </row>
    <row r="45" ht="36" customHeight="1">
      <c r="A45" s="9" t="n">
        <v>8</v>
      </c>
      <c r="B45" s="9" t="inlineStr">
        <is>
          <t>Doctor</t>
        </is>
      </c>
      <c r="C45" s="31" t="n">
        <v>2</v>
      </c>
      <c r="D45" s="30">
        <f>SUMIFS(Tasks!$E$7:$E$68,Tasks!$B$7:$B$68,A45,Tasks!$D$7:$D$68,B45)</f>
        <v/>
      </c>
      <c r="E45" s="30">
        <f>C45-D45</f>
        <v/>
      </c>
      <c r="F45" s="10" t="str"/>
    </row>
    <row r="46" ht="36" customHeight="1">
      <c r="A46" s="5" t="n">
        <v>8</v>
      </c>
      <c r="B46" s="5" t="inlineStr">
        <is>
          <t>Tester</t>
        </is>
      </c>
      <c r="C46" s="31" t="n">
        <v>8</v>
      </c>
      <c r="D46" s="32">
        <f>SUMIFS(Tasks!$E$7:$E$68,Tasks!$B$7:$B$68,A46,Tasks!$D$7:$D$68,B46)</f>
        <v/>
      </c>
      <c r="E46" s="32">
        <f>C46-D46</f>
        <v/>
      </c>
      <c r="F46" s="10" t="str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4" t="inlineStr">
        <is>
          <t>Eight-week total by role</t>
        </is>
      </c>
    </row>
    <row r="50">
      <c r="A50" s="16" t="inlineStr">
        <is>
          <t>Role</t>
        </is>
      </c>
      <c r="B50" s="16" t="inlineStr">
        <is>
          <t>Available h</t>
        </is>
      </c>
      <c r="C50" s="16" t="inlineStr">
        <is>
          <t>Planned h</t>
        </is>
      </c>
      <c r="D50" s="16" t="inlineStr">
        <is>
          <t>Remaining h</t>
        </is>
      </c>
    </row>
    <row r="51">
      <c r="A51" t="inlineStr">
        <is>
          <t>Team lead</t>
        </is>
      </c>
      <c r="B51">
        <f>SUMIF(B7:B46,A51,C7:C46)</f>
        <v/>
      </c>
      <c r="C51">
        <f>SUMIF(B7:B46,A51,D7:D46)</f>
        <v/>
      </c>
      <c r="D51">
        <f>B51-C51</f>
        <v/>
      </c>
    </row>
    <row r="52">
      <c r="A52" t="inlineStr">
        <is>
          <t>Tech lead</t>
        </is>
      </c>
      <c r="B52">
        <f>SUMIF(B7:B46,A52,C7:C46)</f>
        <v/>
      </c>
      <c r="C52">
        <f>SUMIF(B7:B46,A52,D7:D46)</f>
        <v/>
      </c>
      <c r="D52">
        <f>B52-C52</f>
        <v/>
      </c>
    </row>
    <row r="53">
      <c r="A53" t="inlineStr">
        <is>
          <t>Developer</t>
        </is>
      </c>
      <c r="B53">
        <f>SUMIF(B7:B46,A53,C7:C46)</f>
        <v/>
      </c>
      <c r="C53">
        <f>SUMIF(B7:B46,A53,D7:D46)</f>
        <v/>
      </c>
      <c r="D53">
        <f>B53-C53</f>
        <v/>
      </c>
    </row>
    <row r="54">
      <c r="A54" t="inlineStr">
        <is>
          <t>Doctor</t>
        </is>
      </c>
      <c r="B54">
        <f>SUMIF(B7:B46,A54,C7:C46)</f>
        <v/>
      </c>
      <c r="C54">
        <f>SUMIF(B7:B46,A54,D7:D46)</f>
        <v/>
      </c>
      <c r="D54">
        <f>B54-C54</f>
        <v/>
      </c>
    </row>
    <row r="55">
      <c r="A55" t="inlineStr">
        <is>
          <t>Tester</t>
        </is>
      </c>
      <c r="B55">
        <f>SUMIF(B7:B46,A55,C7:C46)</f>
        <v/>
      </c>
      <c r="C55">
        <f>SUMIF(B7:B46,A55,D7:D46)</f>
        <v/>
      </c>
      <c r="D55">
        <f>B55-C55</f>
        <v/>
      </c>
    </row>
    <row r="57">
      <c r="A57" t="inlineStr">
        <is>
          <t>Doctor time is fully allocated. Pediatric, language and live support capacity must be confirmed separately.</t>
        </is>
      </c>
    </row>
  </sheetData>
  <conditionalFormatting sqref="E7:E46">
    <cfRule type="cellIs" priority="1" operator="lessThan" dxfId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38" customWidth="1" min="4" max="4"/>
    <col width="68" customWidth="1" min="5" max="5"/>
    <col width="16" customWidth="1" min="6" max="6"/>
    <col width="48" customWidth="1" min="7" max="7"/>
    <col width="28" customWidth="1" min="8" max="8"/>
    <col width="2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Decisions and dependencies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3" t="inlineStr">
        <is>
          <t>Resolve each item before its due gate; proposed direction is not an approval.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34" customHeight="1">
      <c r="A6" s="8" t="inlineStr">
        <is>
          <t>ID</t>
        </is>
      </c>
      <c r="B6" s="8" t="inlineStr">
        <is>
          <t>Due gate</t>
        </is>
      </c>
      <c r="C6" s="8" t="inlineStr">
        <is>
          <t>Owner</t>
        </is>
      </c>
      <c r="D6" s="8" t="inlineStr">
        <is>
          <t>Decision needed</t>
        </is>
      </c>
      <c r="E6" s="8" t="inlineStr">
        <is>
          <t>Proposed direction</t>
        </is>
      </c>
      <c r="F6" s="8" t="inlineStr">
        <is>
          <t>Status</t>
        </is>
      </c>
      <c r="G6" s="8" t="inlineStr">
        <is>
          <t>Decision / rationale</t>
        </is>
      </c>
      <c r="H6" s="8" t="inlineStr">
        <is>
          <t>Approved by / date</t>
        </is>
      </c>
      <c r="I6" s="8" t="inlineStr">
        <is>
          <t>Evidence link</t>
        </is>
      </c>
    </row>
    <row r="7" ht="40" customHeight="1">
      <c r="A7" s="9" t="inlineStr">
        <is>
          <t>D01</t>
        </is>
      </c>
      <c r="B7" s="9" t="inlineStr">
        <is>
          <t>SG0</t>
        </is>
      </c>
      <c r="C7" s="9" t="inlineStr">
        <is>
          <t>Team lead</t>
        </is>
      </c>
      <c r="D7" s="9" t="inlineStr">
        <is>
          <t>Exact weekly hours and named owners</t>
        </is>
      </c>
      <c r="E7" s="9" t="inlineStr">
        <is>
          <t>Use 10h lead, 10h tech, 25h developer planning baseline; confirm developer 20–25h allocation.</t>
        </is>
      </c>
      <c r="F7" s="10" t="inlineStr">
        <is>
          <t>Open</t>
        </is>
      </c>
      <c r="G7" s="10" t="str"/>
      <c r="H7" s="10" t="str"/>
      <c r="I7" s="10" t="str"/>
    </row>
    <row r="8" ht="40" customHeight="1">
      <c r="A8" s="5" t="inlineStr">
        <is>
          <t>D02</t>
        </is>
      </c>
      <c r="B8" s="5" t="inlineStr">
        <is>
          <t>SG0</t>
        </is>
      </c>
      <c r="C8" s="5" t="inlineStr">
        <is>
          <t>Team lead + Doctor</t>
        </is>
      </c>
      <c r="D8" s="5" t="inlineStr">
        <is>
          <t>Pilot sites, language and reviewers</t>
        </is>
      </c>
      <c r="E8" s="5" t="inlineStr">
        <is>
          <t>One rural and one semi-urban setting; English plus one selected local language; named pediatric reviewer.</t>
        </is>
      </c>
      <c r="F8" s="10" t="inlineStr">
        <is>
          <t>Open</t>
        </is>
      </c>
      <c r="G8" s="10" t="str"/>
      <c r="H8" s="10" t="str"/>
      <c r="I8" s="10" t="str"/>
    </row>
    <row r="9" ht="40" customHeight="1">
      <c r="A9" s="9" t="inlineStr">
        <is>
          <t>D03</t>
        </is>
      </c>
      <c r="B9" s="9" t="inlineStr">
        <is>
          <t>SG0</t>
        </is>
      </c>
      <c r="C9" s="9" t="inlineStr">
        <is>
          <t>Team lead</t>
        </is>
      </c>
      <c r="D9" s="9" t="inlineStr">
        <is>
          <t>Shared repository policy and delegated authority</t>
        </is>
      </c>
      <c r="E9" s="9" t="inlineStr">
        <is>
          <t>Adopt task branches, PR review and human commit/push approvals; select merge approver.</t>
        </is>
      </c>
      <c r="F9" s="10" t="inlineStr">
        <is>
          <t>Open</t>
        </is>
      </c>
      <c r="G9" s="10" t="str"/>
      <c r="H9" s="10" t="str"/>
      <c r="I9" s="10" t="str"/>
    </row>
    <row r="10" ht="40" customHeight="1">
      <c r="A10" s="5" t="inlineStr">
        <is>
          <t>D04</t>
        </is>
      </c>
      <c r="B10" s="5" t="inlineStr">
        <is>
          <t>SG1</t>
        </is>
      </c>
      <c r="C10" s="5" t="inlineStr">
        <is>
          <t>Tech lead</t>
        </is>
      </c>
      <c r="D10" s="5" t="inlineStr">
        <is>
          <t>Auth/session, runtime and dependency versions</t>
        </is>
      </c>
      <c r="E10" s="5" t="inlineStr">
        <is>
          <t>Password staff login; reviewed session design; pinned supported versions and current dependency review.</t>
        </is>
      </c>
      <c r="F10" s="10" t="inlineStr">
        <is>
          <t>Open</t>
        </is>
      </c>
      <c r="G10" s="10" t="inlineStr">
        <is>
          <t>PROPOSED (pending Tech Lead approval): password staff login; 15-min access token + 14-day rotating refresh with reuse detection; Python 3.12.14 pinned via uv.lock; Node 26.8.1 pinned via .nvmrc; all dependencies pinned exactly. See report §5 (M003 review evidence).</t>
        </is>
      </c>
      <c r="H10" s="10" t="str"/>
      <c r="I10" s="10" t="inlineStr">
        <is>
          <t>docs/delivery/evidence/SG1/report.md</t>
        </is>
      </c>
    </row>
    <row r="11" ht="40" customHeight="1">
      <c r="A11" s="9" t="inlineStr">
        <is>
          <t>D05</t>
        </is>
      </c>
      <c r="B11" s="9" t="inlineStr">
        <is>
          <t>SG2</t>
        </is>
      </c>
      <c r="C11" s="9" t="inlineStr">
        <is>
          <t>Doctor + Pediatric reviewer</t>
        </is>
      </c>
      <c r="D11" s="9" t="inlineStr">
        <is>
          <t>Clinical templates and urgent wording</t>
        </is>
      </c>
      <c r="E11" s="9" t="inlineStr">
        <is>
          <t>Approve source/version/local applicability; no universal schedule by resource tier.</t>
        </is>
      </c>
      <c r="F11" s="10" t="inlineStr">
        <is>
          <t>Open</t>
        </is>
      </c>
      <c r="G11" s="10" t="str"/>
      <c r="H11" s="10" t="str"/>
      <c r="I11" s="10" t="str"/>
    </row>
    <row r="12" ht="40" customHeight="1">
      <c r="A12" s="5" t="inlineStr">
        <is>
          <t>D06</t>
        </is>
      </c>
      <c r="B12" s="5" t="inlineStr">
        <is>
          <t>SG2</t>
        </is>
      </c>
      <c r="C12" s="5" t="inlineStr">
        <is>
          <t>Team lead + Tech lead</t>
        </is>
      </c>
      <c r="D12" s="5" t="inlineStr">
        <is>
          <t>WhatsApp provider/account and budget</t>
        </is>
      </c>
      <c r="E12" s="5" t="inlineStr">
        <is>
          <t>Compare current direct/provider costs, onboarding and media support; no vendor selected by this pack.</t>
        </is>
      </c>
      <c r="F12" s="10" t="inlineStr">
        <is>
          <t>Open</t>
        </is>
      </c>
      <c r="G12" s="10" t="str"/>
      <c r="H12" s="10" t="str"/>
      <c r="I12" s="10" t="str"/>
    </row>
    <row r="13" ht="40" customHeight="1">
      <c r="A13" s="9" t="inlineStr">
        <is>
          <t>D07</t>
        </is>
      </c>
      <c r="B13" s="9" t="inlineStr">
        <is>
          <t>SG2</t>
        </is>
      </c>
      <c r="C13" s="9" t="inlineStr">
        <is>
          <t>Tech lead + Team lead</t>
        </is>
      </c>
      <c r="D13" s="9" t="inlineStr">
        <is>
          <t>Patient verification and caregiver mechanism</t>
        </is>
      </c>
      <c r="E13" s="9" t="inlineStr">
        <is>
          <t>No phone-only household access; agree revocation and assisted flow before patient rollout.</t>
        </is>
      </c>
      <c r="F13" s="10" t="inlineStr">
        <is>
          <t>Open</t>
        </is>
      </c>
      <c r="G13" s="10" t="str"/>
      <c r="H13" s="10" t="str"/>
      <c r="I13" s="10" t="str"/>
    </row>
    <row r="14" ht="55" customHeight="1">
      <c r="A14" s="5" t="inlineStr">
        <is>
          <t>D08</t>
        </is>
      </c>
      <c r="B14" s="5" t="inlineStr">
        <is>
          <t>SG3</t>
        </is>
      </c>
      <c r="C14" s="5" t="inlineStr">
        <is>
          <t>Team lead</t>
        </is>
      </c>
      <c r="D14" s="5" t="inlineStr">
        <is>
          <t>Language recording and testing capacity</t>
        </is>
      </c>
      <c r="E14" s="5" t="inlineStr">
        <is>
          <t>Assign language-capable narrator/reviewer; tester 40h across plan; pediatric time separate from gynecologist 2h/week.</t>
        </is>
      </c>
      <c r="F14" s="10" t="inlineStr">
        <is>
          <t>Open</t>
        </is>
      </c>
      <c r="G14" s="10" t="str"/>
      <c r="H14" s="10" t="str"/>
      <c r="I14" s="10" t="str"/>
    </row>
    <row r="15" ht="40" customHeight="1">
      <c r="A15" s="9" t="inlineStr">
        <is>
          <t>D09</t>
        </is>
      </c>
      <c r="B15" s="9" t="inlineStr">
        <is>
          <t>SG5</t>
        </is>
      </c>
      <c r="C15" s="9" t="inlineStr">
        <is>
          <t>Team lead + Facility owner</t>
        </is>
      </c>
      <c r="D15" s="9" t="inlineStr">
        <is>
          <t>Hosting, retention, vendor data flows and rights</t>
        </is>
      </c>
      <c r="E15" s="9" t="inlineStr">
        <is>
          <t>Document review applicable to pilot date; India hosting is proposed policy, not legal certification.</t>
        </is>
      </c>
      <c r="F15" s="10" t="inlineStr">
        <is>
          <t>Open</t>
        </is>
      </c>
      <c r="G15" s="10" t="str"/>
      <c r="H15" s="10" t="str"/>
      <c r="I15" s="10" t="str"/>
    </row>
    <row r="16" ht="40" customHeight="1">
      <c r="A16" s="5" t="inlineStr">
        <is>
          <t>D10</t>
        </is>
      </c>
      <c r="B16" s="5" t="inlineStr">
        <is>
          <t>SG5</t>
        </is>
      </c>
      <c r="C16" s="5" t="inlineStr">
        <is>
          <t>Team lead + Tech lead</t>
        </is>
      </c>
      <c r="D16" s="5" t="inlineStr">
        <is>
          <t>Recovery, load and operating cost thresholds</t>
        </is>
      </c>
      <c r="E16" s="5" t="inlineStr">
        <is>
          <t>Approve proposed RPO/RTO and load targets; set monthly INR budget, alert and send-stop limits.</t>
        </is>
      </c>
      <c r="F16" s="10" t="inlineStr">
        <is>
          <t>Open</t>
        </is>
      </c>
      <c r="G16" s="10" t="str"/>
      <c r="H16" s="10" t="str"/>
      <c r="I16" s="10" t="str"/>
    </row>
    <row r="17" ht="40" customHeight="1">
      <c r="A17" s="9" t="inlineStr">
        <is>
          <t>D11</t>
        </is>
      </c>
      <c r="B17" s="9" t="inlineStr">
        <is>
          <t>SG6</t>
        </is>
      </c>
      <c r="C17" s="9" t="inlineStr">
        <is>
          <t>Facility owner + Team lead</t>
        </is>
      </c>
      <c r="D17" s="9" t="inlineStr">
        <is>
          <t>Live support roster and response commitments</t>
        </is>
      </c>
      <c r="E17" s="9" t="inlineStr">
        <is>
          <t>Name coordinator, backup and clinical escalation before any real enrolment.</t>
        </is>
      </c>
      <c r="F17" s="10" t="inlineStr">
        <is>
          <t>Open</t>
        </is>
      </c>
      <c r="G17" s="10" t="str"/>
      <c r="H17" s="10" t="str"/>
      <c r="I17" s="10" t="str"/>
    </row>
    <row r="18" ht="55" customHeight="1">
      <c r="A18" s="5" t="inlineStr">
        <is>
          <t>D12</t>
        </is>
      </c>
      <c r="B18" s="5" t="inlineStr">
        <is>
          <t>SG7</t>
        </is>
      </c>
      <c r="C18" s="5" t="inlineStr">
        <is>
          <t>Team lead + Doctor + Tech lead</t>
        </is>
      </c>
      <c r="D18" s="5" t="inlineStr">
        <is>
          <t>Pilot authorization</t>
        </is>
      </c>
      <c r="E18" s="5" t="inlineStr">
        <is>
          <t>Separate technical, clinical and operations acceptance; pilot deployment and real enrolment need explicit authorization.</t>
        </is>
      </c>
      <c r="F18" s="10" t="inlineStr">
        <is>
          <t>Open</t>
        </is>
      </c>
      <c r="G18" s="10" t="str"/>
      <c r="H18" s="10" t="str"/>
      <c r="I18" s="10" t="str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</sheetData>
  <dataValidations count="1">
    <dataValidation sqref="F7:F18" showDropDown="0" showInputMessage="0" showErrorMessage="0" allowBlank="0" type="list">
      <formula1>"Open,Accepted,Rejected,Deferred"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54" customWidth="1" min="4" max="4"/>
    <col width="52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Requirements to build and test</t>
        </is>
      </c>
      <c r="B2" s="1" t="n"/>
      <c r="C2" s="1" t="n"/>
      <c r="D2" s="1" t="n"/>
      <c r="E2" s="1" t="n"/>
    </row>
    <row r="3">
      <c r="A3" s="3" t="inlineStr">
        <is>
          <t>Source: MatriSathi_Specifications_Updated.xlsx v2, 28 Sep 2026; standalone amendments in baseline §1.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 ht="34" customHeight="1">
      <c r="A6" s="8" t="inlineStr">
        <is>
          <t>Requirement</t>
        </is>
      </c>
      <c r="B6" s="8" t="inlineStr">
        <is>
          <t>Required scope</t>
        </is>
      </c>
      <c r="C6" s="8" t="inlineStr">
        <is>
          <t>Gates</t>
        </is>
      </c>
      <c r="D6" s="8" t="inlineStr">
        <is>
          <t>Implementation tasks</t>
        </is>
      </c>
      <c r="E6" s="8" t="inlineStr">
        <is>
          <t>Acceptance cases</t>
        </is>
      </c>
    </row>
    <row r="7" ht="36" customHeight="1">
      <c r="A7" s="9" t="inlineStr">
        <is>
          <t>Stage 1</t>
        </is>
      </c>
      <c r="B7" s="9" t="inlineStr">
        <is>
          <t>Pregnancy confirmation and entry</t>
        </is>
      </c>
      <c r="C7" s="9" t="inlineStr">
        <is>
          <t>SG1 SG2</t>
        </is>
      </c>
      <c r="D7" s="9" t="inlineStr">
        <is>
          <t>M004–M006 M011 M013</t>
        </is>
      </c>
      <c r="E7" s="9" t="inlineStr">
        <is>
          <t>AT03 AT05 AT06</t>
        </is>
      </c>
    </row>
    <row r="8" ht="36" customHeight="1">
      <c r="A8" s="5" t="inlineStr">
        <is>
          <t>Stage 2</t>
        </is>
      </c>
      <c r="B8" s="5" t="inlineStr">
        <is>
          <t>Routine pregnancy care</t>
        </is>
      </c>
      <c r="C8" s="5" t="inlineStr">
        <is>
          <t>SG2</t>
        </is>
      </c>
      <c r="D8" s="5" t="inlineStr">
        <is>
          <t>M011 M012</t>
        </is>
      </c>
      <c r="E8" s="5" t="inlineStr">
        <is>
          <t>AT06 AT07 AT08 AT09</t>
        </is>
      </c>
    </row>
    <row r="9" ht="36" customHeight="1">
      <c r="A9" s="9" t="inlineStr">
        <is>
          <t>Stage 3</t>
        </is>
      </c>
      <c r="B9" s="9" t="inlineStr">
        <is>
          <t>Delivery readiness</t>
        </is>
      </c>
      <c r="C9" s="9" t="inlineStr">
        <is>
          <t>SG2</t>
        </is>
      </c>
      <c r="D9" s="9" t="inlineStr">
        <is>
          <t>M013 M015</t>
        </is>
      </c>
      <c r="E9" s="9" t="inlineStr">
        <is>
          <t>AT10</t>
        </is>
      </c>
    </row>
    <row r="10" ht="36" customHeight="1">
      <c r="A10" s="5" t="inlineStr">
        <is>
          <t>Stage 4</t>
        </is>
      </c>
      <c r="B10" s="5" t="inlineStr">
        <is>
          <t>Labour/birth documentation</t>
        </is>
      </c>
      <c r="C10" s="5" t="inlineStr">
        <is>
          <t>SG4</t>
        </is>
      </c>
      <c r="D10" s="5" t="inlineStr">
        <is>
          <t>M027 M028</t>
        </is>
      </c>
      <c r="E10" s="5" t="inlineStr">
        <is>
          <t>AT15 AT18</t>
        </is>
      </c>
    </row>
    <row r="11" ht="36" customHeight="1">
      <c r="A11" s="9" t="inlineStr">
        <is>
          <t>Stage 5</t>
        </is>
      </c>
      <c r="B11" s="9" t="inlineStr">
        <is>
          <t>Separate discharge</t>
        </is>
      </c>
      <c r="C11" s="9" t="inlineStr">
        <is>
          <t>SG4</t>
        </is>
      </c>
      <c r="D11" s="9" t="inlineStr">
        <is>
          <t>M027 M031</t>
        </is>
      </c>
      <c r="E11" s="9" t="inlineStr">
        <is>
          <t>AT16</t>
        </is>
      </c>
    </row>
    <row r="12" ht="36" customHeight="1">
      <c r="A12" s="5" t="inlineStr">
        <is>
          <t>Stage 6</t>
        </is>
      </c>
      <c r="B12" s="5" t="inlineStr">
        <is>
          <t>Early postpartum</t>
        </is>
      </c>
      <c r="C12" s="5" t="inlineStr">
        <is>
          <t>SG4</t>
        </is>
      </c>
      <c r="D12" s="5" t="inlineStr">
        <is>
          <t>M029 M031</t>
        </is>
      </c>
      <c r="E12" s="5" t="inlineStr">
        <is>
          <t>AT16 AT17 AT18</t>
        </is>
      </c>
    </row>
    <row r="13" ht="36" customHeight="1">
      <c r="A13" s="9" t="inlineStr">
        <is>
          <t>Stage 7</t>
        </is>
      </c>
      <c r="B13" s="9" t="inlineStr">
        <is>
          <t>Infancy</t>
        </is>
      </c>
      <c r="C13" s="9" t="inlineStr">
        <is>
          <t>SG5</t>
        </is>
      </c>
      <c r="D13" s="9" t="inlineStr">
        <is>
          <t>M035 M039</t>
        </is>
      </c>
      <c r="E13" s="9" t="inlineStr">
        <is>
          <t>AT19 AT29</t>
        </is>
      </c>
    </row>
    <row r="14" ht="36" customHeight="1">
      <c r="A14" s="5" t="inlineStr">
        <is>
          <t>Stage 8</t>
        </is>
      </c>
      <c r="B14" s="5" t="inlineStr">
        <is>
          <t>Early childhood</t>
        </is>
      </c>
      <c r="C14" s="5" t="inlineStr">
        <is>
          <t>SG5</t>
        </is>
      </c>
      <c r="D14" s="5" t="inlineStr">
        <is>
          <t>M035 M039</t>
        </is>
      </c>
      <c r="E14" s="5" t="inlineStr">
        <is>
          <t>AT19 AT29</t>
        </is>
      </c>
    </row>
    <row r="15" ht="36" customHeight="1">
      <c r="A15" s="9" t="inlineStr">
        <is>
          <t>R01</t>
        </is>
      </c>
      <c r="B15" s="9" t="inlineStr">
        <is>
          <t>WhatsApp and voice</t>
        </is>
      </c>
      <c r="C15" s="9" t="inlineStr">
        <is>
          <t>SG3</t>
        </is>
      </c>
      <c r="D15" s="9" t="inlineStr">
        <is>
          <t>M017–M024</t>
        </is>
      </c>
      <c r="E15" s="9" t="inlineStr">
        <is>
          <t>AT11 AT12 AT13 AT14</t>
        </is>
      </c>
    </row>
    <row r="16" ht="36" customHeight="1">
      <c r="A16" s="5" t="inlineStr">
        <is>
          <t>R02</t>
        </is>
      </c>
      <c r="B16" s="5" t="inlineStr">
        <is>
          <t>Identity and caregiver access</t>
        </is>
      </c>
      <c r="C16" s="5" t="inlineStr">
        <is>
          <t>SG1 SG2 SG4 SG5</t>
        </is>
      </c>
      <c r="D16" s="5" t="inlineStr">
        <is>
          <t>M003 M005 M010 M025 M034 M037</t>
        </is>
      </c>
      <c r="E16" s="5" t="inlineStr">
        <is>
          <t>AT01 AT02 AT03 AT28 AT29</t>
        </is>
      </c>
    </row>
    <row r="17" ht="36" customHeight="1">
      <c r="A17" s="9" t="inlineStr">
        <is>
          <t>R03</t>
        </is>
      </c>
      <c r="B17" s="9" t="inlineStr">
        <is>
          <t>Tasks, tests and referrals</t>
        </is>
      </c>
      <c r="C17" s="9" t="inlineStr">
        <is>
          <t>SG2 SG5</t>
        </is>
      </c>
      <c r="D17" s="9" t="inlineStr">
        <is>
          <t>M009 M011 M012 M044</t>
        </is>
      </c>
      <c r="E17" s="9" t="inlineStr">
        <is>
          <t>AT07 AT08 AT09 AT23</t>
        </is>
      </c>
    </row>
    <row r="18" ht="36" customHeight="1">
      <c r="A18" s="5" t="inlineStr">
        <is>
          <t>R04</t>
        </is>
      </c>
      <c r="B18" s="5" t="inlineStr">
        <is>
          <t>Loss, transfer and special care</t>
        </is>
      </c>
      <c r="C18" s="5" t="inlineStr">
        <is>
          <t>SG4</t>
        </is>
      </c>
      <c r="D18" s="5" t="inlineStr">
        <is>
          <t>M026–M029</t>
        </is>
      </c>
      <c r="E18" s="5" t="inlineStr">
        <is>
          <t>AT15 AT16 AT17 AT18</t>
        </is>
      </c>
    </row>
    <row r="19" ht="36" customHeight="1">
      <c r="A19" s="9" t="inlineStr">
        <is>
          <t>R05</t>
        </is>
      </c>
      <c r="B19" s="9" t="inlineStr">
        <is>
          <t>Local schedules and field roles</t>
        </is>
      </c>
      <c r="C19" s="9" t="inlineStr">
        <is>
          <t>SG2 SG5</t>
        </is>
      </c>
      <c r="D19" s="9" t="inlineStr">
        <is>
          <t>M011 M015 M033 M035 M039</t>
        </is>
      </c>
      <c r="E19" s="9" t="inlineStr">
        <is>
          <t>AT06 AT07 AT19</t>
        </is>
      </c>
    </row>
    <row r="20" ht="36" customHeight="1">
      <c r="A20" s="5" t="inlineStr">
        <is>
          <t>R06</t>
        </is>
      </c>
      <c r="B20" s="5" t="inlineStr">
        <is>
          <t>Education and language</t>
        </is>
      </c>
      <c r="C20" s="5" t="inlineStr">
        <is>
          <t>SG3 SG5</t>
        </is>
      </c>
      <c r="D20" s="5" t="inlineStr">
        <is>
          <t>M021 M023 M037–M039 M047</t>
        </is>
      </c>
      <c r="E20" s="5" t="inlineStr">
        <is>
          <t>AT14 AT21 AT24</t>
        </is>
      </c>
    </row>
    <row r="21" ht="36" customHeight="1">
      <c r="A21" s="9" t="inlineStr">
        <is>
          <t>R07</t>
        </is>
      </c>
      <c r="B21" s="9" t="inlineStr">
        <is>
          <t>Privacy, audit and rights</t>
        </is>
      </c>
      <c r="C21" s="9" t="inlineStr">
        <is>
          <t>SG1 SG5 SG7</t>
        </is>
      </c>
      <c r="D21" s="9" t="inlineStr">
        <is>
          <t>M003 M005 M043 M050</t>
        </is>
      </c>
      <c r="E21" s="9" t="inlineStr">
        <is>
          <t>AT04 AT22 AT28 AT32</t>
        </is>
      </c>
    </row>
    <row r="22" ht="36" customHeight="1">
      <c r="A22" s="5" t="inlineStr">
        <is>
          <t>R08</t>
        </is>
      </c>
      <c r="B22" s="5" t="inlineStr">
        <is>
          <t>Low-connectivity field use</t>
        </is>
      </c>
      <c r="C22" s="5" t="inlineStr">
        <is>
          <t>SG5 SG6</t>
        </is>
      </c>
      <c r="D22" s="5" t="inlineStr">
        <is>
          <t>M033 M036 M040 M051</t>
        </is>
      </c>
      <c r="E22" s="5" t="inlineStr">
        <is>
          <t>AT20 AT24 AT26</t>
        </is>
      </c>
    </row>
    <row r="23" ht="36" customHeight="1">
      <c r="A23" s="9" t="inlineStr">
        <is>
          <t>R09</t>
        </is>
      </c>
      <c r="B23" s="9" t="inlineStr">
        <is>
          <t>Independent MVP architecture; amended</t>
        </is>
      </c>
      <c r="C23" s="9" t="inlineStr">
        <is>
          <t>SG1 SG5</t>
        </is>
      </c>
      <c r="D23" s="9" t="inlineStr">
        <is>
          <t>M002–M006 M045</t>
        </is>
      </c>
      <c r="E23" s="9" t="inlineStr">
        <is>
          <t>AT05 AT31</t>
        </is>
      </c>
    </row>
    <row r="24" ht="36" customHeight="1">
      <c r="A24" s="5" t="inlineStr">
        <is>
          <t>R10</t>
        </is>
      </c>
      <c r="B24" s="5" t="inlineStr">
        <is>
          <t>Deployment, recovery and cost</t>
        </is>
      </c>
      <c r="C24" s="5" t="inlineStr">
        <is>
          <t>SG3 SG6 SG7</t>
        </is>
      </c>
      <c r="D24" s="5" t="inlineStr">
        <is>
          <t>M017 M019 M042 M049 M056</t>
        </is>
      </c>
      <c r="E24" s="5" t="inlineStr">
        <is>
          <t>AT12 AT25 AT26 AT30 AT32</t>
        </is>
      </c>
    </row>
    <row r="25" ht="36" customHeight="1">
      <c r="A25" s="9" t="inlineStr">
        <is>
          <t>R11</t>
        </is>
      </c>
      <c r="B25" s="9" t="inlineStr">
        <is>
          <t>Staffed pilot and release gates</t>
        </is>
      </c>
      <c r="C25" s="9" t="inlineStr">
        <is>
          <t>SG0 SG6 SG7</t>
        </is>
      </c>
      <c r="D25" s="9" t="inlineStr">
        <is>
          <t>M001 M046 M053 M060</t>
        </is>
      </c>
      <c r="E25" s="9" t="inlineStr">
        <is>
          <t>AT23 AT27</t>
        </is>
      </c>
    </row>
    <row r="26" ht="36" customHeight="1">
      <c r="A26" s="5" t="inlineStr">
        <is>
          <t>R12</t>
        </is>
      </c>
      <c r="B26" s="5" t="inlineStr">
        <is>
          <t>Pilot evidence and impact</t>
        </is>
      </c>
      <c r="C26" s="5" t="inlineStr">
        <is>
          <t>SG5 SG6 SG7</t>
        </is>
      </c>
      <c r="D26" s="5" t="inlineStr">
        <is>
          <t>M044 M053 M055 M060</t>
        </is>
      </c>
      <c r="E26" s="5" t="inlineStr">
        <is>
          <t>AT23 AT24 AT26</t>
        </is>
      </c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426477"/>
    <outlinePr summaryBelow="1" summaryRight="1"/>
    <pageSetUpPr/>
  </sheetPr>
  <dimension ref="A1:O50"/>
  <sheetViews>
    <sheetView showGridLines="0" workbookViewId="0">
      <pane xSplit="4" ySplit="6" topLeftCell="E7" activePane="bottomRight" state="frozen"/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29" customWidth="1" min="4" max="4"/>
    <col width="24" customWidth="1" min="5" max="5"/>
    <col width="65" customWidth="1" min="6" max="6"/>
    <col width="48" customWidth="1" min="7" max="7"/>
    <col width="65" customWidth="1" min="8" max="8"/>
    <col width="48" customWidth="1" min="9" max="9"/>
    <col width="57" customWidth="1" min="10" max="10"/>
    <col width="30" customWidth="1" min="11" max="11"/>
    <col width="27" customWidth="1" min="12" max="12"/>
    <col width="20" customWidth="1" min="13" max="13"/>
    <col width="46" customWidth="1" min="14" max="14"/>
    <col width="35" customWidth="1" min="15" max="15"/>
  </cols>
  <sheetData>
    <row r="1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</row>
    <row r="2" ht="28" customHeight="1">
      <c r="A2" s="18" t="inlineStr">
        <is>
          <t>MatriSathi functional requirements by gate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</row>
    <row r="3" ht="23" customHeight="1">
      <c r="A3" s="19" t="inlineStr">
        <is>
          <t>Version 1.1 | Filter Gate for the required build scope. Existing task dates/hours remain unchanged. Named approvals are still required.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</row>
    <row r="4">
      <c r="A4" s="19" t="inlineStr">
        <is>
          <t>Gate is the first delivery/verification milestone; controls continue afterward. Open mechanisms and proposed targets need a Decisions tab record.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</row>
    <row r="5">
      <c r="A5" s="19" t="inlineStr">
        <is>
          <t>Sources: MatriSathi_Specifications_Updated.xlsx v2 + MatriSathi_Functional_Technical_Baseline.docx v1.0 (28 Sep 2026), including standalone amendments.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</row>
    <row r="6" ht="35" customHeight="1">
      <c r="A6" s="23" t="inlineStr">
        <is>
          <t>Spec ID</t>
        </is>
      </c>
      <c r="B6" s="23" t="inlineStr">
        <is>
          <t>Gate</t>
        </is>
      </c>
      <c r="C6" s="23" t="inlineStr">
        <is>
          <t>Day</t>
        </is>
      </c>
      <c r="D6" s="23" t="inlineStr">
        <is>
          <t>Feature / screen</t>
        </is>
      </c>
      <c r="E6" s="23" t="inlineStr">
        <is>
          <t>Users</t>
        </is>
      </c>
      <c r="F6" s="23" t="inlineStr">
        <is>
          <t>Detailed functionality to build</t>
        </is>
      </c>
      <c r="G6" s="23" t="inlineStr">
        <is>
          <t>Required data</t>
        </is>
      </c>
      <c r="H6" s="23" t="inlineStr">
        <is>
          <t>Workflow rules and exceptions</t>
        </is>
      </c>
      <c r="I6" s="23" t="inlineStr">
        <is>
          <t>Rural / semi-urban use</t>
        </is>
      </c>
      <c r="J6" s="23" t="inlineStr">
        <is>
          <t>What to demonstrate</t>
        </is>
      </c>
      <c r="K6" s="23" t="inlineStr">
        <is>
          <t>Linked task IDs</t>
        </is>
      </c>
      <c r="L6" s="23" t="inlineStr">
        <is>
          <t>Acceptance cases</t>
        </is>
      </c>
      <c r="M6" s="23" t="inlineStr">
        <is>
          <t>Delivery owner</t>
        </is>
      </c>
      <c r="N6" s="23" t="inlineStr">
        <is>
          <t>Required approval / open decision</t>
        </is>
      </c>
      <c r="O6" s="23" t="inlineStr">
        <is>
          <t>Source requirement</t>
        </is>
      </c>
    </row>
    <row r="7" ht="72" customHeight="1">
      <c r="A7" s="26" t="inlineStr">
        <is>
          <t>F001</t>
        </is>
      </c>
      <c r="B7" s="26" t="inlineStr">
        <is>
          <t>SG0</t>
        </is>
      </c>
      <c r="C7" s="26" t="n">
        <v>2</v>
      </c>
      <c r="D7" s="26" t="inlineStr">
        <is>
          <t>Adopt scope and delivery rules</t>
        </is>
      </c>
      <c r="E7" s="26" t="inlineStr">
        <is>
          <t>Team lead; tech lead; doctor</t>
        </is>
      </c>
      <c r="F7" s="26" t="inlineStr">
        <is>
          <t>Confirm the eight care stages, shared requirements, pilot language, two settings, named reviewers and team hours. Record accepted versions and first-stage authorization.</t>
        </is>
      </c>
      <c r="G7" s="26" t="inlineStr">
        <is>
          <t>Scope version; owner names; capacity; site/language; reviewer; approved stage; decision date.</t>
        </is>
      </c>
      <c r="H7" s="26" t="inlineStr">
        <is>
          <t>Standalone application. Essential journeys work without AI. Clinical content needs named approval. Keep required scope; estimate changes are explicit.</t>
        </is>
      </c>
      <c r="I7" s="26" t="inlineStr">
        <is>
          <t>Same essential care/privacy features for NGO/PHC and private sites. Billing automation is deferred.</t>
        </is>
      </c>
      <c r="J7" s="26" t="inlineStr">
        <is>
          <t>SG0 decision record names owners, language, reviewer, capacity and accepted amendments.</t>
        </is>
      </c>
      <c r="K7" s="26" t="inlineStr">
        <is>
          <t>M001 M002</t>
        </is>
      </c>
      <c r="L7" s="26" t="inlineStr">
        <is>
          <t>SG0 evidence</t>
        </is>
      </c>
      <c r="M7" s="26" t="inlineStr">
        <is>
          <t>Team lead</t>
        </is>
      </c>
      <c r="N7" s="26" t="inlineStr">
        <is>
          <t>D01 D02 D03; team lead accepts baseline.</t>
        </is>
      </c>
      <c r="O7" s="26" t="inlineStr">
        <is>
          <t>Baseline §1, §9; R09–R12 as amended</t>
        </is>
      </c>
    </row>
    <row r="8" ht="72" customHeight="1">
      <c r="A8" s="27" t="inlineStr">
        <is>
          <t>F002</t>
        </is>
      </c>
      <c r="B8" s="27" t="inlineStr">
        <is>
          <t>SG1</t>
        </is>
      </c>
      <c r="C8" s="27" t="n">
        <v>7</v>
      </c>
      <c r="D8" s="27" t="inlineStr">
        <is>
          <t>People and pregnancy registration</t>
        </is>
      </c>
      <c r="E8" s="27" t="inlineStr">
        <is>
          <t>Coordinator; authorized patient; clinician</t>
        </is>
      </c>
      <c r="F8" s="27" t="inlineStr">
        <is>
          <t>Find an authorized record or create a person, capture available intake and create a separate pregnancy episode. Save and reopen the same record after reload.</t>
        </is>
      </c>
      <c r="G8" s="27" t="inlineStr">
        <is>
          <t>Person ID; episode ID; owning facility; name; available age/DOB with precision; history; existing medicines/allergies; source; available dates.</t>
        </is>
      </c>
      <c r="H8" s="27" t="inlineStr">
        <is>
          <t>Keep missing history unknown. Do not infer normal findings, risk or diagnosis. No mandatory Aadhaar, ABHA, email or smartphone. Enforce authorized person linking.</t>
        </is>
      </c>
      <c r="I8" s="27" t="inlineStr">
        <is>
          <t>Assisted entry for low-literacy/no-phone users; responsive self-entry where enabled. Available MCP records may be attached in SG2.</t>
        </is>
      </c>
      <c r="J8" s="27" t="inlineStr">
        <is>
          <t>Register early, late and unknown-date cases; reopen persisted record; reject inaccessible person links.</t>
        </is>
      </c>
      <c r="K8" s="27" t="inlineStr">
        <is>
          <t>M004 M005 M006 M008</t>
        </is>
      </c>
      <c r="L8" s="27" t="inlineStr">
        <is>
          <t>AT03 AT05; AT06 at SG2</t>
        </is>
      </c>
      <c r="M8" s="27" t="inlineStr">
        <is>
          <t>Developer</t>
        </is>
      </c>
      <c r="N8" s="27" t="inlineStr">
        <is>
          <t>Doctor validates intake; tech lead approves identity design.</t>
        </is>
      </c>
      <c r="O8" s="27" t="inlineStr">
        <is>
          <t>Stage 1; R02 R09; Baseline §2–3, §7</t>
        </is>
      </c>
    </row>
    <row r="9" ht="72" customHeight="1">
      <c r="A9" s="26" t="inlineStr">
        <is>
          <t>F003</t>
        </is>
      </c>
      <c r="B9" s="26" t="inlineStr">
        <is>
          <t>SG1</t>
        </is>
      </c>
      <c r="C9" s="26" t="n">
        <v>7</v>
      </c>
      <c r="D9" s="26" t="inlineStr">
        <is>
          <t>Shared phones and contact changes</t>
        </is>
      </c>
      <c r="E9" s="26" t="inlineStr">
        <is>
          <t>Patient; coordinator</t>
        </is>
      </c>
      <c r="F9" s="26" t="inlineStr">
        <is>
          <t>Store contact separately from person identity. Confirm which person a contact relates to and record safe preferences. Review suspected duplicates manually.</t>
        </is>
      </c>
      <c r="G9" s="26" t="inlineStr">
        <is>
          <t>Contact value; linked person; verification evidence/status; preferred language; contact owner; change actor/date.</t>
        </is>
      </c>
      <c r="H9" s="26" t="inlineStr">
        <is>
          <t>A phone number may belong to several people. Never merge by number or transfer identity on number change. Uncertain identity cannot expose records.</t>
        </is>
      </c>
      <c r="I9" s="26" t="inlineStr">
        <is>
          <t>Support shared family handsets and no-phone assisted contact. No household-wide access from possession of a number.</t>
        </is>
      </c>
      <c r="J9" s="26" t="inlineStr">
        <is>
          <t>Two women with one number have independent records; number change does not grant another person access.</t>
        </is>
      </c>
      <c r="K9" s="26" t="inlineStr">
        <is>
          <t>M003 M005 M006</t>
        </is>
      </c>
      <c r="L9" s="26" t="inlineStr">
        <is>
          <t>AT02 AT03</t>
        </is>
      </c>
      <c r="M9" s="26" t="inlineStr">
        <is>
          <t>Developer</t>
        </is>
      </c>
      <c r="N9" s="26" t="inlineStr">
        <is>
          <t>Tech lead reviews reference and search permissions.</t>
        </is>
      </c>
      <c r="O9" s="26" t="inlineStr">
        <is>
          <t>R02; Stage 1; Baseline §2, §7</t>
        </is>
      </c>
    </row>
    <row r="10" ht="72" customHeight="1">
      <c r="A10" s="27" t="inlineStr">
        <is>
          <t>F004</t>
        </is>
      </c>
      <c r="B10" s="27" t="inlineStr">
        <is>
          <t>SG1</t>
        </is>
      </c>
      <c r="C10" s="27" t="n">
        <v>7</v>
      </c>
      <c r="D10" s="27" t="inlineStr">
        <is>
          <t>Staff roles and assigned records</t>
        </is>
      </c>
      <c r="E10" s="27" t="inlineStr">
        <is>
          <t>Org admin; coordinator; ASHA; ANM/nurse; doctor</t>
        </is>
      </c>
      <c r="F10" s="27" t="inlineStr">
        <is>
          <t>Admin manages authorized memberships. Staff sees only facilities and records permitted by role and assignment. Clinician-only actions are reserved for clinical users.</t>
        </is>
      </c>
      <c r="G10" s="27" t="inlineStr">
        <is>
          <t>Organization; facility; staff membership; capabilities; assignment; active/revoked state; audit actor.</t>
        </is>
      </c>
      <c r="H10" s="27" t="inlineStr">
        <is>
          <t>Admin role alone gives no clinical-record access. ASHA cannot approve a clinical plan or mark report review. Revocation affects subsequent requests.</t>
        </is>
      </c>
      <c r="I10" s="27" t="inlineStr">
        <is>
          <t>Assign workers according to actual training, availability and equipment; no village-wide access assumption.</t>
        </is>
      </c>
      <c r="J10" s="27" t="inlineStr">
        <is>
          <t>Compare doctor, field worker and admin views in two organizations; revoke membership and retry access.</t>
        </is>
      </c>
      <c r="K10" s="27" t="inlineStr">
        <is>
          <t>M003 M005 M008</t>
        </is>
      </c>
      <c r="L10" s="27" t="inlineStr">
        <is>
          <t>AT01 AT02 AT03 AT04</t>
        </is>
      </c>
      <c r="M10" s="27" t="inlineStr">
        <is>
          <t>Developer</t>
        </is>
      </c>
      <c r="N10" s="27" t="inlineStr">
        <is>
          <t>Doctor confirms field role boundaries; tech lead confirms enforcement.</t>
        </is>
      </c>
      <c r="O10" s="27" t="inlineStr">
        <is>
          <t>R02 R05 R07; Baseline §2, §8</t>
        </is>
      </c>
    </row>
    <row r="11" ht="72" customHeight="1">
      <c r="A11" s="26" t="inlineStr">
        <is>
          <t>F005</t>
        </is>
      </c>
      <c r="B11" s="26" t="inlineStr">
        <is>
          <t>SG2</t>
        </is>
      </c>
      <c r="C11" s="26" t="n">
        <v>14</v>
      </c>
      <c r="D11" s="26" t="inlineStr">
        <is>
          <t>Dating and local care plans</t>
        </is>
      </c>
      <c r="E11" s="26" t="inlineStr">
        <is>
          <t>Doctor; authorized coordinator; patient</t>
        </is>
      </c>
      <c r="F11" s="26" t="inlineStr">
        <is>
          <t>Record provisional dating and its source. Clinician confirms or corrects dating and activates a versioned local ANC plan with individual exceptions. Publish future care actions.</t>
        </is>
      </c>
      <c r="G11" s="26" t="inlineStr">
        <is>
          <t>Episode; LMP/other dating if supplied; source/precision; confirmation; template/version; approver; effective date; individual dates.</t>
        </is>
      </c>
      <c r="H11" s="26" t="inlineStr">
        <is>
          <t>Unknown dates stay unknown. Do not invent previous visits. Correcting dates preserves historical care and cancels/replaces obsolete future reminders. Resource tier does not select a clinical standard.</t>
        </is>
      </c>
      <c r="I11" s="26" t="inlineStr">
        <is>
          <t>Works at first contact at any gestation. Only locally adopted schedules and actually available appointments are shown.</t>
        </is>
      </c>
      <c r="J11" s="26" t="inlineStr">
        <is>
          <t>Late and unknown-date entry works; clinician changes date/plan; completed events stay intact and old reminders stop.</t>
        </is>
      </c>
      <c r="K11" s="26" t="inlineStr">
        <is>
          <t>M009 M011 M015</t>
        </is>
      </c>
      <c r="L11" s="26" t="inlineStr">
        <is>
          <t>AT06</t>
        </is>
      </c>
      <c r="M11" s="26" t="inlineStr">
        <is>
          <t>Developer</t>
        </is>
      </c>
      <c r="N11" s="26" t="inlineStr">
        <is>
          <t>D05; doctor approves actual schedule, sources and wording.</t>
        </is>
      </c>
      <c r="O11" s="26" t="inlineStr">
        <is>
          <t>Stage 1–3; R05; Baseline §3, §5</t>
        </is>
      </c>
    </row>
    <row r="12" ht="72" customHeight="1">
      <c r="A12" s="27" t="inlineStr">
        <is>
          <t>F006</t>
        </is>
      </c>
      <c r="B12" s="27" t="inlineStr">
        <is>
          <t>SG2</t>
        </is>
      </c>
      <c r="C12" s="27" t="n">
        <v>14</v>
      </c>
      <c r="D12" s="27" t="inlineStr">
        <is>
          <t>Patient next-action view</t>
        </is>
      </c>
      <c r="E12" s="27" t="inlineStr">
        <is>
          <t>Patient; delegated caregiver; coordinator</t>
        </is>
      </c>
      <c r="F12" s="27" t="inlineStr">
        <is>
          <t>Show the next confirmed action, date/location if known, preparation, status and help route. Let the person report done, not done or need help and request a callback.</t>
        </is>
      </c>
      <c r="G12" s="27" t="inlineStr">
        <is>
          <t>Subject; approved action; due date/status; preparation version; contact; reported response; barrier; last update.</t>
        </is>
      </c>
      <c r="H12" s="27" t="inlineStr">
        <is>
          <t>Keep patient-reported completion distinct from staff verification. Missing logs stay unknown. Do not infer non-adherence or clinical urgency.</t>
        </is>
      </c>
      <c r="I12" s="27" t="inlineStr">
        <is>
          <t>Large controls and plain language. Staff can explain and print next steps; phone/assisted fallback when data is unavailable.</t>
        </is>
      </c>
      <c r="J12" s="27" t="inlineStr">
        <is>
          <t>Patient identifies next action and help route; staff sees a help request with owner and context.</t>
        </is>
      </c>
      <c r="K12" s="27" t="inlineStr">
        <is>
          <t>M011 M013</t>
        </is>
      </c>
      <c r="L12" s="27" t="inlineStr">
        <is>
          <t>AT07 AT10 AT28</t>
        </is>
      </c>
      <c r="M12" s="27" t="inlineStr">
        <is>
          <t>Developer</t>
        </is>
      </c>
      <c r="N12" s="27" t="inlineStr">
        <is>
          <t>Doctor reviews preparation; team lead reviews usability.</t>
        </is>
      </c>
      <c r="O12" s="27" t="inlineStr">
        <is>
          <t>Stages 1–3; R03 R06; Baseline §2–3</t>
        </is>
      </c>
    </row>
    <row r="13" ht="72" customHeight="1">
      <c r="A13" s="26" t="inlineStr">
        <is>
          <t>F007</t>
        </is>
      </c>
      <c r="B13" s="26" t="inlineStr">
        <is>
          <t>SG2</t>
        </is>
      </c>
      <c r="C13" s="26" t="n">
        <v>14</v>
      </c>
      <c r="D13" s="26" t="inlineStr">
        <is>
          <t>Appointments and rescheduling</t>
        </is>
      </c>
      <c r="E13" s="26" t="inlineStr">
        <is>
          <t>Patient; coordinator; clinic staff</t>
        </is>
      </c>
      <c r="F13" s="26" t="inlineStr">
        <is>
          <t>Request an appointment, confirm actual date/site, record attendance or missed visit, and reschedule/cancel. Create an owned follow-up after a missed visit.</t>
        </is>
      </c>
      <c r="G13" s="26" t="inlineStr">
        <is>
          <t>Appointment ID; subject; requested/confirmed time; facility/contact; status; prior appointment; owner; reason.</t>
        </is>
      </c>
      <c r="H13" s="26" t="inlineStr">
        <is>
          <t>States: requested, confirmed, attended, missed, rescheduled, cancelled. Preserve old event; cancel obsolete reminders. Booking is a request until a person confirms.</t>
        </is>
      </c>
      <c r="I13" s="26" t="inlineStr">
        <is>
          <t>No assumption of live hospital scheduling integration. Staff confirms local clinic/community availability manually.</t>
        </is>
      </c>
      <c r="J13" s="26" t="inlineStr">
        <is>
          <t>Miss a visit, assign follow-up, reschedule once and show only the current reminder is eligible.</t>
        </is>
      </c>
      <c r="K13" s="26" t="inlineStr">
        <is>
          <t>M009 M011 M016</t>
        </is>
      </c>
      <c r="L13" s="26" t="inlineStr">
        <is>
          <t>AT07</t>
        </is>
      </c>
      <c r="M13" s="26" t="inlineStr">
        <is>
          <t>Developer</t>
        </is>
      </c>
      <c r="N13" s="26" t="inlineStr">
        <is>
          <t>Doctor and coordinator validate actual booking workflow.</t>
        </is>
      </c>
      <c r="O13" s="26" t="inlineStr">
        <is>
          <t>Stage 2; R03 R05; Baseline §5</t>
        </is>
      </c>
    </row>
    <row r="14" ht="72" customHeight="1">
      <c r="A14" s="27" t="inlineStr">
        <is>
          <t>F008</t>
        </is>
      </c>
      <c r="B14" s="27" t="inlineStr">
        <is>
          <t>SG2</t>
        </is>
      </c>
      <c r="C14" s="27" t="n">
        <v>14</v>
      </c>
      <c r="D14" s="27" t="inlineStr">
        <is>
          <t>Owned tasks and practical barriers</t>
        </is>
      </c>
      <c r="E14" s="27" t="inlineStr">
        <is>
          <t>Coordinator; ASHA; ANM/nurse; patient</t>
        </is>
      </c>
      <c r="F14" s="27" t="inlineStr">
        <is>
          <t>Assign follow-up, record due time, contact attempt and patient barriers, and close with result/reason. Reassign unavailable staff and overdue work to a backup.</t>
        </is>
      </c>
      <c r="G14" s="27" t="inlineStr">
        <is>
          <t>Task type; subject; owner/backup; due time; state; attempt time; travel/cost/medicine-access barrier; closure reason.</t>
        </is>
      </c>
      <c r="H14" s="27" t="inlineStr">
        <is>
          <t>States: new, assigned, awaiting patient, completed, cancelled. Declined, unreachable and unknown remain distinct outcomes. Overdue means administrative delay, not clinical risk.</t>
        </is>
      </c>
      <c r="I14" s="27" t="inlineStr">
        <is>
          <t>No daily field visits or kit availability assumed. Use actual staff acceptance and facility fallback.</t>
        </is>
      </c>
      <c r="J14" s="27" t="inlineStr">
        <is>
          <t>Unavailable worker and unreachable family both retain owned unresolved work; completion has recorded outcome.</t>
        </is>
      </c>
      <c r="K14" s="27" t="inlineStr">
        <is>
          <t>M009 M011 M029 M044</t>
        </is>
      </c>
      <c r="L14" s="27" t="inlineStr">
        <is>
          <t>AT07 AT23 AT27</t>
        </is>
      </c>
      <c r="M14" s="27" t="inlineStr">
        <is>
          <t>Developer</t>
        </is>
      </c>
      <c r="N14" s="27" t="inlineStr">
        <is>
          <t>Doctor validates role limits; facility confirms available owners.</t>
        </is>
      </c>
      <c r="O14" s="27" t="inlineStr">
        <is>
          <t>R03 R05 R11; Baseline §5</t>
        </is>
      </c>
    </row>
    <row r="15" ht="72" customHeight="1">
      <c r="A15" s="26" t="inlineStr">
        <is>
          <t>F009</t>
        </is>
      </c>
      <c r="B15" s="26" t="inlineStr">
        <is>
          <t>SG2</t>
        </is>
      </c>
      <c r="C15" s="26" t="n">
        <v>14</v>
      </c>
      <c r="D15" s="26" t="inlineStr">
        <is>
          <t>Investigations and report review</t>
        </is>
      </c>
      <c r="E15" s="26" t="inlineStr">
        <is>
          <t>Patient; nurse; coordinator; clinician</t>
        </is>
      </c>
      <c r="F15" s="26" t="inlineStr">
        <is>
          <t>Record requested tests, performed event, report receipt/upload and clinical review as separate steps. Route missing records and review work to named staff.</t>
        </is>
      </c>
      <c r="G15" s="26" t="inlineStr">
        <is>
          <t>Test/request; request/performed/received dates; source; private file; reviewing clinician/date; next approved action.</t>
        </is>
      </c>
      <c r="H15" s="26" t="inlineStr">
        <is>
          <t>Requested → performed → received → reviewed. A received outside report may have unknown earlier dates; retain them as unknown. Only an authorized clinician records review. No report interpretation.</t>
        </is>
      </c>
      <c r="I15" s="26" t="inlineStr">
        <is>
          <t>Accept available paper/MCP photos or PDFs through staff-assisted upload; preserve originals.</t>
        </is>
      </c>
      <c r="J15" s="26" t="inlineStr">
        <is>
          <t>Upload is displayed as received, not reviewed; non-clinician review attempt fails; clinician review is attributable.</t>
        </is>
      </c>
      <c r="K15" s="26" t="inlineStr">
        <is>
          <t>M009 M012 M016</t>
        </is>
      </c>
      <c r="L15" s="26" t="inlineStr">
        <is>
          <t>AT08 AT32</t>
        </is>
      </c>
      <c r="M15" s="26" t="inlineStr">
        <is>
          <t>Developer</t>
        </is>
      </c>
      <c r="N15" s="26" t="inlineStr">
        <is>
          <t>Doctor approves review workflow.</t>
        </is>
      </c>
      <c r="O15" s="26" t="inlineStr">
        <is>
          <t>Stage 2; R03 R07; Baseline §3, §5</t>
        </is>
      </c>
    </row>
    <row r="16" ht="72" customHeight="1">
      <c r="A16" s="27" t="inlineStr">
        <is>
          <t>F010</t>
        </is>
      </c>
      <c r="B16" s="27" t="inlineStr">
        <is>
          <t>SG2</t>
        </is>
      </c>
      <c r="C16" s="27" t="n">
        <v>14</v>
      </c>
      <c r="D16" s="27" t="inlineStr">
        <is>
          <t>Existing prescriptions and reminders</t>
        </is>
      </c>
      <c r="E16" s="27" t="inlineStr">
        <is>
          <t>Patient; caregiver with grant; clinician; coordinator</t>
        </is>
      </c>
      <c r="F16" s="27" t="inlineStr">
        <is>
          <t>Display an already issued prescription and set a reminder only from confirmed instructions. Route unclear medicine instructions to a clinician.</t>
        </is>
      </c>
      <c r="G16" s="27" t="inlineStr">
        <is>
          <t>Original prescription/source/date; confirmed instruction; clinician/confirmation; reminder timing; start/end if supplied; pause.</t>
        </is>
      </c>
      <c r="H16" s="27" t="inlineStr">
        <is>
          <t>Do not suggest drugs, calculate dose/duration or rewrite prescriptions. Keep changes and originals traceable. Uncertainty blocks the affected reminder until reviewed.</t>
        </is>
      </c>
      <c r="I16" s="27" t="inlineStr">
        <is>
          <t>Support assisted reading and approved medicine-use education. Record availability/cost barriers as help requests.</t>
        </is>
      </c>
      <c r="J16" s="27" t="inlineStr">
        <is>
          <t>Known instruction produces the agreed reminder; ambiguous instruction creates review work without invented dosing.</t>
        </is>
      </c>
      <c r="K16" s="27" t="inlineStr">
        <is>
          <t>M012 M021</t>
        </is>
      </c>
      <c r="L16" s="27" t="inlineStr">
        <is>
          <t>AT08 AT12 AT14</t>
        </is>
      </c>
      <c r="M16" s="27" t="inlineStr">
        <is>
          <t>Developer</t>
        </is>
      </c>
      <c r="N16" s="27" t="inlineStr">
        <is>
          <t>Doctor confirms instruction and patient wording.</t>
        </is>
      </c>
      <c r="O16" s="27" t="inlineStr">
        <is>
          <t>Stage 2; R03 R06; Baseline §3, §7</t>
        </is>
      </c>
    </row>
    <row r="17" ht="72" customHeight="1">
      <c r="A17" s="26" t="inlineStr">
        <is>
          <t>F011</t>
        </is>
      </c>
      <c r="B17" s="26" t="inlineStr">
        <is>
          <t>SG2</t>
        </is>
      </c>
      <c r="C17" s="26" t="n">
        <v>14</v>
      </c>
      <c r="D17" s="26" t="inlineStr">
        <is>
          <t>Referrals and return advice</t>
        </is>
      </c>
      <c r="E17" s="26" t="inlineStr">
        <is>
          <t>Clinician; coordinator; receiving team</t>
        </is>
      </c>
      <c r="F17" s="26" t="inlineStr">
        <is>
          <t>Record clinician-selected destination and urgency, contact the receiving service, track attendance and returned advice, and assign resulting follow-up.</t>
        </is>
      </c>
      <c r="G17" s="26" t="inlineStr">
        <is>
          <t>Referral ID; subject; destination/contact; clinician instruction; receiving owner; sent/contacted/attended/advice dates; closure reason.</t>
        </is>
      </c>
      <c r="H17" s="26" t="inlineStr">
        <is>
          <t>States: sent, contacted, attended, advice received, follow-up completed, or explicit closure reason. A message sent does not close the referral. No automatic specialist/risk matching.</t>
        </is>
      </c>
      <c r="I17" s="26" t="inlineStr">
        <is>
          <t>Use verified local services, phone calls and manual external records; no hospital-system integration required.</t>
        </is>
      </c>
      <c r="J17" s="26" t="inlineStr">
        <is>
          <t>Demonstrate missed attendance, return advice and open follow-up; close only with defined outcome/reason.</t>
        </is>
      </c>
      <c r="K17" s="26" t="inlineStr">
        <is>
          <t>M012 M016 M028</t>
        </is>
      </c>
      <c r="L17" s="26" t="inlineStr">
        <is>
          <t>AT09 AT18</t>
        </is>
      </c>
      <c r="M17" s="26" t="inlineStr">
        <is>
          <t>Developer</t>
        </is>
      </c>
      <c r="N17" s="26" t="inlineStr">
        <is>
          <t>Doctor validates referral destination/urgency and closure meaning.</t>
        </is>
      </c>
      <c r="O17" s="26" t="inlineStr">
        <is>
          <t>Stages 2, 6–8; R03 R04; Baseline §5</t>
        </is>
      </c>
    </row>
    <row r="18" ht="72" customHeight="1">
      <c r="A18" s="27" t="inlineStr">
        <is>
          <t>F012</t>
        </is>
      </c>
      <c r="B18" s="27" t="inlineStr">
        <is>
          <t>SG2</t>
        </is>
      </c>
      <c r="C18" s="27" t="n">
        <v>14</v>
      </c>
      <c r="D18" s="27" t="inlineStr">
        <is>
          <t>Raw observations and clinician findings</t>
        </is>
      </c>
      <c r="E18" s="27" t="inlineStr">
        <is>
          <t>Authorized nurse; clinician; coordinator</t>
        </is>
      </c>
      <c r="F18" s="27" t="inlineStr">
        <is>
          <t>Record available dated observations and source records; show measurement history and clinician-entered findings alongside the next approved action.</t>
        </is>
      </c>
      <c r="G18" s="27" t="inlineStr">
        <is>
          <t>Observation name; raw value; unit; actual service date; entry date; source; recorder; clinician finding if supplied.</t>
        </is>
      </c>
      <c r="H18" s="27" t="inlineStr">
        <is>
          <t>No threshold alerts, inferred high risk, fetal growth interpretation or automatic non-adherence. Preserve unknown values; correction records reason and prior value.</t>
        </is>
      </c>
      <c r="I18" s="27" t="inlineStr">
        <is>
          <t>Only measurements actually taken with available equipment and trained staff are entered.</t>
        </is>
      </c>
      <c r="J18" s="27" t="inlineStr">
        <is>
          <t>Enter a measurement and external finding; no generated judgment appears; date/unit/source remain visible.</t>
        </is>
      </c>
      <c r="K18" s="27" t="inlineStr">
        <is>
          <t>M012 M015</t>
        </is>
      </c>
      <c r="L18" s="27" t="inlineStr">
        <is>
          <t>AT08 AT31</t>
        </is>
      </c>
      <c r="M18" s="27" t="inlineStr">
        <is>
          <t>Developer</t>
        </is>
      </c>
      <c r="N18" s="27" t="inlineStr">
        <is>
          <t>Doctor approves allowed fields and units before use.</t>
        </is>
      </c>
      <c r="O18" s="27" t="inlineStr">
        <is>
          <t>Stage 2; G07; R03 R05; Baseline §7</t>
        </is>
      </c>
    </row>
    <row r="19" ht="72" customHeight="1">
      <c r="A19" s="26" t="inlineStr">
        <is>
          <t>F013</t>
        </is>
      </c>
      <c r="B19" s="26" t="inlineStr">
        <is>
          <t>SG2</t>
        </is>
      </c>
      <c r="C19" s="26" t="n">
        <v>14</v>
      </c>
      <c r="D19" s="26" t="inlineStr">
        <is>
          <t>Birth preparation plan</t>
        </is>
      </c>
      <c r="E19" s="26" t="inlineStr">
        <is>
          <t>Patient/family; ASHA; coordinator; doctor</t>
        </is>
      </c>
      <c r="F19" s="26" t="inlineStr">
        <is>
          <t>Capture chosen delivery site, clinician-selected referral site, companion, practical transport plan, landmarks and alternate contacts. Review changes with family and print/save the plan.</t>
        </is>
      </c>
      <c r="G19" s="26" t="inlineStr">
        <is>
          <t>Site names; verified numbers; verification owner/date; alternate; landmarks; companion; transport arrangement; handover acceptance if known.</t>
        </is>
      </c>
      <c r="H19" s="26" t="inlineStr">
        <is>
          <t>Manual confirmation only. No dispatch, ETA, GPS, geofence, cab booking or guarantee of transport suitability/availability.</t>
        </is>
      </c>
      <c r="I19" s="26" t="inlineStr">
        <is>
          <t>Landmarks and printed plan work without location permissions. Verify locally applicable emergency numbers before publishing.</t>
        </is>
      </c>
      <c r="J19" s="26" t="inlineStr">
        <is>
          <t>Open and print the plan; show dated primary/alternate contacts and an agreed fallback if transport unavailable.</t>
        </is>
      </c>
      <c r="K19" s="26" t="inlineStr">
        <is>
          <t>M013 M015</t>
        </is>
      </c>
      <c r="L19" s="26" t="inlineStr">
        <is>
          <t>AT10</t>
        </is>
      </c>
      <c r="M19" s="26" t="inlineStr">
        <is>
          <t>Developer</t>
        </is>
      </c>
      <c r="N19" s="26" t="inlineStr">
        <is>
          <t>Doctor approves clinical plan and urgent wording; coordinator verifies contacts.</t>
        </is>
      </c>
      <c r="O19" s="26" t="inlineStr">
        <is>
          <t>Stage 3; R06; Baseline §3</t>
        </is>
      </c>
    </row>
    <row r="20" ht="72" customHeight="1">
      <c r="A20" s="27" t="inlineStr">
        <is>
          <t>F014</t>
        </is>
      </c>
      <c r="B20" s="27" t="inlineStr">
        <is>
          <t>SG2</t>
        </is>
      </c>
      <c r="C20" s="27" t="n">
        <v>14</v>
      </c>
      <c r="D20" s="27" t="inlineStr">
        <is>
          <t>Public urgent help and service hours</t>
        </is>
      </c>
      <c r="E20" s="27" t="inlineStr">
        <is>
          <t>Patient; family; staff</t>
        </is>
      </c>
      <c r="F20" s="27" t="inlineStr">
        <is>
          <t>Provide approved urgent instructions and verified telephone routes without login. Open the dialler on supported devices. Explain messaging support hours and direct after-hours route.</t>
        </is>
      </c>
      <c r="G20" s="27" t="inlineStr">
        <is>
          <t>Public approved instruction version; facility/alternate number; verification date/owner; support hours; response expectation.</t>
        </is>
      </c>
      <c r="H20" s="27" t="inlineStr">
        <is>
          <t>Opening dialler is not proof of connection or dispatch. Do not suggest waiting for a chat reply in an emergency. No automated symptom triage.</t>
        </is>
      </c>
      <c r="I20" s="27" t="inlineStr">
        <is>
          <t>Readable public text, reviewed audio when available, print and ordinary telephone fallback. No GPS/account dependency.</t>
        </is>
      </c>
      <c r="J20" s="27" t="inlineStr">
        <is>
          <t>Signed-out user reaches the verified contact route; chat does not promise emergency monitoring.</t>
        </is>
      </c>
      <c r="K20" s="27" t="inlineStr">
        <is>
          <t>M013 M015 M022 M053</t>
        </is>
      </c>
      <c r="L20" s="27" t="inlineStr">
        <is>
          <t>AT10 AT14 AT27</t>
        </is>
      </c>
      <c r="M20" s="27" t="inlineStr">
        <is>
          <t>Developer</t>
        </is>
      </c>
      <c r="N20" s="27" t="inlineStr">
        <is>
          <t>Doctor approves urgent content; facility confirms actual hours before live use.</t>
        </is>
      </c>
      <c r="O20" s="27" t="inlineStr">
        <is>
          <t>Stages 3–6; R06 R11; Baseline §2–3</t>
        </is>
      </c>
    </row>
    <row r="21" ht="72" customHeight="1">
      <c r="A21" s="26" t="inlineStr">
        <is>
          <t>F015</t>
        </is>
      </c>
      <c r="B21" s="26" t="inlineStr">
        <is>
          <t>SG2</t>
        </is>
      </c>
      <c r="C21" s="26" t="n">
        <v>14</v>
      </c>
      <c r="D21" s="26" t="inlineStr">
        <is>
          <t>Patient access and adult delegation</t>
        </is>
      </c>
      <c r="E21" s="26" t="inlineStr">
        <is>
          <t>Patient; caregiver; authorized verifier</t>
        </is>
      </c>
      <c r="F21" s="26" t="inlineStr">
        <is>
          <t>Verify the subject through the agreed patient-access process. Grant limited adult caregiver permissions, show current grants and revoke access. Use safe sessions on shared devices.</t>
        </is>
      </c>
      <c r="G21" s="26" t="inlineStr">
        <is>
          <t>Verified subject; verifier/evidence; grantor; caregiver; allowed records/actions; expiry/revocation; session.</t>
        </is>
      </c>
      <c r="H21" s="26" t="inlineStr">
        <is>
          <t>Phone possession alone is insufficient. Check scope on each request and download; revocation takes effect on next request. No automatic disclosure of private concerns.</t>
        </is>
      </c>
      <c r="I21" s="26" t="inlineStr">
        <is>
          <t>Assisted verification for no-phone users; family members on one handset remain separate.</t>
        </is>
      </c>
      <c r="J21" s="26" t="inlineStr">
        <is>
          <t>Authorized caregiver sees granted records only; revoked caregiver and another phone-sharing person are denied.</t>
        </is>
      </c>
      <c r="K21" s="26" t="inlineStr">
        <is>
          <t>M010 M013 M016</t>
        </is>
      </c>
      <c r="L21" s="26" t="inlineStr">
        <is>
          <t>AT28 AT02 AT32</t>
        </is>
      </c>
      <c r="M21" s="26" t="inlineStr">
        <is>
          <t>Developer</t>
        </is>
      </c>
      <c r="N21" s="26" t="inlineStr">
        <is>
          <t>D07 must select concrete verification/recovery method; do not invent it.</t>
        </is>
      </c>
      <c r="O21" s="26" t="inlineStr">
        <is>
          <t>R02 R07; Baseline §2, §8</t>
        </is>
      </c>
    </row>
    <row r="22" ht="72" customHeight="1">
      <c r="A22" s="27" t="inlineStr">
        <is>
          <t>F044</t>
        </is>
      </c>
      <c r="B22" s="27" t="inlineStr">
        <is>
          <t>SG2</t>
        </is>
      </c>
      <c r="C22" s="27" t="n">
        <v>14</v>
      </c>
      <c r="D22" s="27" t="inlineStr">
        <is>
          <t>Verified local service contacts</t>
        </is>
      </c>
      <c r="E22" s="27" t="inlineStr">
        <is>
          <t>Coordinator; ASHA; patient/family</t>
        </is>
      </c>
      <c r="F22" s="27" t="inlineStr">
        <is>
          <t>Maintain locally verified PHC, referral, transport, nutrition and benefit contacts. Help the family contact a real service and record practical follow-up.</t>
        </is>
      </c>
      <c r="G22" s="27" t="inlineStr">
        <is>
          <t>Service name/type; contact/alternate; locality/landmarks; verification owner/date; availability notes; referral/follow-up link.</t>
        </is>
      </c>
      <c r="H22" s="27" t="inlineStr">
        <is>
          <t>No automatic eligibility, benefit claims, transport booking or government integration. Staff verifies availability and updates stale details.</t>
        </is>
      </c>
      <c r="I22" s="27" t="inlineStr">
        <is>
          <t>Ordinary telephone calls and printed contacts work in both settings; never promise a free or available service without confirmation.</t>
        </is>
      </c>
      <c r="J22" s="27" t="inlineStr">
        <is>
          <t>Find a local contact, identify its last verifier/date and create an owned follow-up when the service is unavailable.</t>
        </is>
      </c>
      <c r="K22" s="27" t="inlineStr">
        <is>
          <t>M012 M013 M015</t>
        </is>
      </c>
      <c r="L22" s="27" t="inlineStr">
        <is>
          <t>AT09 AT10 AT07</t>
        </is>
      </c>
      <c r="M22" s="27" t="inlineStr">
        <is>
          <t>Developer</t>
        </is>
      </c>
      <c r="N22" s="27" t="inlineStr">
        <is>
          <t>Facility verifies contacts; doctor approves clinical referral routes.</t>
        </is>
      </c>
      <c r="O22" s="27" t="inlineStr">
        <is>
          <t>R03; Stage 3; Baseline §3, §5</t>
        </is>
      </c>
    </row>
    <row r="23" ht="72" customHeight="1">
      <c r="A23" s="26" t="inlineStr">
        <is>
          <t>F016</t>
        </is>
      </c>
      <c r="B23" s="26" t="inlineStr">
        <is>
          <t>SG3</t>
        </is>
      </c>
      <c r="C23" s="26" t="n">
        <v>21</v>
      </c>
      <c r="D23" s="26" t="inlineStr">
        <is>
          <t>Channel and safe-contact preferences</t>
        </is>
      </c>
      <c r="E23" s="26" t="inlineStr">
        <is>
          <t>Patient; coordinator</t>
        </is>
      </c>
      <c r="F23" s="26" t="inlineStr">
        <is>
          <t>Record WhatsApp permission, preferred language, safe time and permitted message detail. Allow opt-out and callback request; show and enforce current preferences.</t>
        </is>
      </c>
      <c r="G23" s="26" t="inlineStr">
        <is>
          <t>Subject/contact; permission status/time/source; language; safe time; detail level; opt-out; callback owner.</t>
        </is>
      </c>
      <c r="H23" s="26" t="inlineStr">
        <is>
          <t>Recheck preferences before sending. Revocation/opt-out cancels ineligible pending messages. A channel opt-out does not erase medical records.</t>
        </is>
      </c>
      <c r="I23" s="26" t="inlineStr">
        <is>
          <t>Minimal notifications on shared phones. Assisted or telephone contact remains available when WhatsApp is unsuitable.</t>
        </is>
      </c>
      <c r="J23" s="26" t="inlineStr">
        <is>
          <t>Change safe timing and opt out with a queued reminder; affected message is not sent and fallback is visible.</t>
        </is>
      </c>
      <c r="K23" s="26" t="inlineStr">
        <is>
          <t>M019 M021 M022 M007</t>
        </is>
      </c>
      <c r="L23" s="26" t="inlineStr">
        <is>
          <t>AT12 AT14 AT28</t>
        </is>
      </c>
      <c r="M23" s="26" t="inlineStr">
        <is>
          <t>Developer</t>
        </is>
      </c>
      <c r="N23" s="26" t="inlineStr">
        <is>
          <t>Doctor reviews template wording; team lead approves provider setup.</t>
        </is>
      </c>
      <c r="O23" s="26" t="inlineStr">
        <is>
          <t>R01 R02 R07; Baseline §2, §5</t>
        </is>
      </c>
    </row>
    <row r="24" ht="72" customHeight="1">
      <c r="A24" s="27" t="inlineStr">
        <is>
          <t>F017</t>
        </is>
      </c>
      <c r="B24" s="27" t="inlineStr">
        <is>
          <t>SG3</t>
        </is>
      </c>
      <c r="C24" s="27" t="n">
        <v>21</v>
      </c>
      <c r="D24" s="27" t="inlineStr">
        <is>
          <t>Real WhatsApp reminders and delivery</t>
        </is>
      </c>
      <c r="E24" s="27" t="inlineStr">
        <is>
          <t>Patient; coordinator</t>
        </is>
      </c>
      <c r="F24" s="27" t="inlineStr">
        <is>
          <t>Send approved templates for confirmed actions through the official provider. Record status updates and expose failed/uncertain delivery for human follow-up.</t>
        </is>
      </c>
      <c r="G24" s="27" t="inlineStr">
        <is>
          <t>Business operation ID; provider message ID; authorized recipient; template/language/version; plan version; send time; callback status.</t>
        </is>
      </c>
      <c r="H24" s="27" t="inlineStr">
        <is>
          <t>Submitted/sent/delivered/failed/unknown are distinct. Delivery is not clinical review. Respect current approved provider rules; no blind resend after uncertain timeout.</t>
        </is>
      </c>
      <c r="I24" s="27" t="inlineStr">
        <is>
          <t>Use permitted audio link/reply route. Ordinary call/assisted fallback for failure; no assumption of free messaging.</t>
        </is>
      </c>
      <c r="J24" s="27" t="inlineStr">
        <is>
          <t>Actual template arrives on staff test handset; callbacks, duplicate events, stale schedule and failed delivery handled.</t>
        </is>
      </c>
      <c r="K24" s="27" t="inlineStr">
        <is>
          <t>M014 M017 M019 M024</t>
        </is>
      </c>
      <c r="L24" s="27" t="inlineStr">
        <is>
          <t>AT11 AT12</t>
        </is>
      </c>
      <c r="M24" s="27" t="inlineStr">
        <is>
          <t>Developer</t>
        </is>
      </c>
      <c r="N24" s="27" t="inlineStr">
        <is>
          <t>D06; real provider approval and budget required for SG3 pass.</t>
        </is>
      </c>
      <c r="O24" s="27" t="inlineStr">
        <is>
          <t>R01 R10; Baseline §5, §8</t>
        </is>
      </c>
    </row>
    <row r="25" ht="72" customHeight="1">
      <c r="A25" s="26" t="inlineStr">
        <is>
          <t>F018</t>
        </is>
      </c>
      <c r="B25" s="26" t="inlineStr">
        <is>
          <t>SG3</t>
        </is>
      </c>
      <c r="C25" s="26" t="n">
        <v>21</v>
      </c>
      <c r="D25" s="26" t="inlineStr">
        <is>
          <t>Human-owned text and voice inbox</t>
        </is>
      </c>
      <c r="E25" s="26" t="inlineStr">
        <is>
          <t>Coordinator; nurse; clinician</t>
        </is>
      </c>
      <c r="F25" s="26" t="inlineStr">
        <is>
          <t>Receive text/audio/photo into an authorized inbox. Staff identifies the subject, listens to original audio, assigns owner/backup, replies or routes to a clinician and records resolution.</t>
        </is>
      </c>
      <c r="G25" s="26" t="inlineStr">
        <is>
          <t>Provider inbound ID; sender contact; verified subject if known; original media; owner/backup; state; timestamps; resolution.</t>
        </is>
      </c>
      <c r="H25" s="26" t="inlineStr">
        <is>
          <t>States: new, being handled, awaiting patient, resolved. Ambiguous shared-phone messages remain restricted and unlinked. No transcription, AI clinical answer, triage or reassurance.</t>
        </is>
      </c>
      <c r="I25" s="26" t="inlineStr">
        <is>
          <t>Human local-language handling. Callback route when staff cannot understand audio or identity remains uncertain.</t>
        </is>
      </c>
      <c r="J25" s="26" t="inlineStr">
        <is>
          <t>Receive real voice/photo; hold ambiguous message; verify before linking; route a clinical question and show ownership.</t>
        </is>
      </c>
      <c r="K25" s="26" t="inlineStr">
        <is>
          <t>M018 M020 M024</t>
        </is>
      </c>
      <c r="L25" s="26" t="inlineStr">
        <is>
          <t>AT13 AT23 AT27</t>
        </is>
      </c>
      <c r="M25" s="26" t="inlineStr">
        <is>
          <t>Developer</t>
        </is>
      </c>
      <c r="N25" s="26" t="inlineStr">
        <is>
          <t>Facility assigns response owners; doctor confirms clinical routing.</t>
        </is>
      </c>
      <c r="O25" s="26" t="inlineStr">
        <is>
          <t>R01 R02 R03 R11; Baseline §2, §5</t>
        </is>
      </c>
    </row>
    <row r="26" ht="72" customHeight="1">
      <c r="A26" s="27" t="inlineStr">
        <is>
          <t>F019</t>
        </is>
      </c>
      <c r="B26" s="27" t="inlineStr">
        <is>
          <t>SG3</t>
        </is>
      </c>
      <c r="C26" s="27" t="n">
        <v>21</v>
      </c>
      <c r="D26" s="27" t="inlineStr">
        <is>
          <t>Media and unsupported-message fallback</t>
        </is>
      </c>
      <c r="E26" s="27" t="inlineStr">
        <is>
          <t>Patient; coordinator</t>
        </is>
      </c>
      <c r="F26" s="27" t="inlineStr">
        <is>
          <t>Play authorized original voice notes and view permitted photo/report files. Explain upload failure or unsupported type and offer a callback/assisted route.</t>
        </is>
      </c>
      <c r="G26" s="27" t="inlineStr">
        <is>
          <t>Private file ID; MIME/type; size; source/provider ID; subject authorization; receipt status; failure reason; callback task.</t>
        </is>
      </c>
      <c r="H26" s="27" t="inlineStr">
        <is>
          <t>Limits are explicit and provider-compatible. No public patient-media URLs. Failed upload must not look received. Verify access on every download.</t>
        </is>
      </c>
      <c r="I26" s="27" t="inlineStr">
        <is>
          <t>Small files and clear progress/error status on weak networks; original audio does not require speech recognition.</t>
        </is>
      </c>
      <c r="J26" s="27" t="inlineStr">
        <is>
          <t>Oversized/unsupported media yields understandable fallback; unauthorized download and expired link fail.</t>
        </is>
      </c>
      <c r="K26" s="27" t="inlineStr">
        <is>
          <t>M018 M020 M021</t>
        </is>
      </c>
      <c r="L26" s="27" t="inlineStr">
        <is>
          <t>AT13 AT32</t>
        </is>
      </c>
      <c r="M26" s="27" t="inlineStr">
        <is>
          <t>Developer</t>
        </is>
      </c>
      <c r="N26" s="27" t="inlineStr">
        <is>
          <t>Tech lead sets supported types, sizes and retention with facility review.</t>
        </is>
      </c>
      <c r="O26" s="27" t="inlineStr">
        <is>
          <t>R01 R07 R08; Baseline §5, §8</t>
        </is>
      </c>
    </row>
    <row r="27" ht="72" customHeight="1">
      <c r="A27" s="26" t="inlineStr">
        <is>
          <t>F020</t>
        </is>
      </c>
      <c r="B27" s="26" t="inlineStr">
        <is>
          <t>SG3</t>
        </is>
      </c>
      <c r="C27" s="26" t="n">
        <v>21</v>
      </c>
      <c r="D27" s="26" t="inlineStr">
        <is>
          <t>Reviewed audio and language access</t>
        </is>
      </c>
      <c r="E27" s="26" t="inlineStr">
        <is>
          <t>Patient; family; staff</t>
        </is>
      </c>
      <c r="F27" s="26" t="inlineStr">
        <is>
          <t>Play short approved education audio with matching text through patient pages and a permitted WhatsApp route. Offer English and the selected pilot language.</t>
        </is>
      </c>
      <c r="G27" s="26" t="inlineStr">
        <is>
          <t>Topic; stage/plan match; text/audio version; language; source; approver; review date; file size.</t>
        </is>
      </c>
      <c r="H27" s="26" t="inlineStr">
        <is>
          <t>Use reviewed human narration. No dialect recognition or conversational voice agent. Only approved clinical wording may be distributed.</t>
        </is>
      </c>
      <c r="I27" s="26" t="inlineStr">
        <is>
          <t>Large play/pause controls, small files, plain text/picture support and printed next steps.</t>
        </is>
      </c>
      <c r="J27" s="26" t="inlineStr">
        <is>
          <t>Play approved audio on web and real WhatsApp route; language/text agree; fallback usable on a low-end device.</t>
        </is>
      </c>
      <c r="K27" s="26" t="inlineStr">
        <is>
          <t>M021 M023 M038</t>
        </is>
      </c>
      <c r="L27" s="26" t="inlineStr">
        <is>
          <t>AT14 AT21 AT24</t>
        </is>
      </c>
      <c r="M27" s="26" t="inlineStr">
        <is>
          <t>Developer</t>
        </is>
      </c>
      <c r="N27" s="26" t="inlineStr">
        <is>
          <t>D08; language-capable reviewer and clinical reviewer approve versions.</t>
        </is>
      </c>
      <c r="O27" s="26" t="inlineStr">
        <is>
          <t>R01 R06; Baseline §2, §5</t>
        </is>
      </c>
    </row>
    <row r="28" ht="72" customHeight="1">
      <c r="A28" s="27" t="inlineStr">
        <is>
          <t>F021</t>
        </is>
      </c>
      <c r="B28" s="27" t="inlineStr">
        <is>
          <t>SG4</t>
        </is>
      </c>
      <c r="C28" s="27" t="n">
        <v>28</v>
      </c>
      <c r="D28" s="27" t="inlineStr">
        <is>
          <t>Labour arrival, birth and twins</t>
        </is>
      </c>
      <c r="E28" s="27" t="inlineStr">
        <is>
          <t>Nurse; coordinator; doctor</t>
        </is>
      </c>
      <c r="F28" s="27" t="inlineStr">
        <is>
          <t>Locate the correct episode, record arrival or transfer after care permits, record confirmed birth outcome and create a separate record/plan for each liveborn child.</t>
        </is>
      </c>
      <c r="G28" s="27" t="inlineStr">
        <is>
          <t>Episode; arrival/event date and precision; source; confirmed outcome; distinct child IDs; actual birth date/time if known; facility summary.</t>
        </is>
      </c>
      <c r="H28" s="27" t="inlineStr">
        <is>
          <t>No labour triage, contraction advice, resuscitation or live monitoring. Unknown facts stay unknown. Each child has independent outcome and follow-up.</t>
        </is>
      </c>
      <c r="I28" s="27" t="inlineStr">
        <is>
          <t>No QR scan required to find the record. Manual facility summary and handover are sufficient.</t>
        </is>
      </c>
      <c r="J28" s="27" t="inlineStr">
        <is>
          <t>Create twins and update one child; sibling and maternal history remain correct.</t>
        </is>
      </c>
      <c r="K28" s="27" t="inlineStr">
        <is>
          <t>M025 M027 M031 M032</t>
        </is>
      </c>
      <c r="L28" s="27" t="inlineStr">
        <is>
          <t>AT15</t>
        </is>
      </c>
      <c r="M28" s="27" t="inlineStr">
        <is>
          <t>Developer</t>
        </is>
      </c>
      <c r="N28" s="27" t="inlineStr">
        <is>
          <t>Doctor and pediatric reviewer approve birth/outcome workflow.</t>
        </is>
      </c>
      <c r="O28" s="27" t="inlineStr">
        <is>
          <t>Stage 4; R02 R04; Baseline §3–4</t>
        </is>
      </c>
    </row>
    <row r="29" ht="72" customHeight="1">
      <c r="A29" s="26" t="inlineStr">
        <is>
          <t>F022</t>
        </is>
      </c>
      <c r="B29" s="26" t="inlineStr">
        <is>
          <t>SG4</t>
        </is>
      </c>
      <c r="C29" s="26" t="n">
        <v>28</v>
      </c>
      <c r="D29" s="26" t="inlineStr">
        <is>
          <t>Child entry with incomplete history</t>
        </is>
      </c>
      <c r="E29" s="26" t="inlineStr">
        <is>
          <t>Coordinator; guardian; pediatric reviewer</t>
        </is>
      </c>
      <c r="F29" s="26" t="inlineStr">
        <is>
          <t>Create an existing child record even if pregnancy/parental details are incomplete. Verify guardian authority before access and link known relationships explicitly.</t>
        </is>
      </c>
      <c r="G29" s="26" t="inlineStr">
        <is>
          <t>Child person ID; available birth date/precision; source; optional episode; verified relationships/guardian authority; owning facility.</t>
        </is>
      </c>
      <c r="H29" s="26" t="inlineStr">
        <is>
          <t>No invented pregnancy, dates or parent identity. Unknown history is allowed; access still requires verified authority. Twins are separate people.</t>
        </is>
      </c>
      <c r="I29" s="26" t="inlineStr">
        <is>
          <t>Assisted entry with available community or paper records; absence of digital identifiers is not a care barrier.</t>
        </is>
      </c>
      <c r="J29" s="26" t="inlineStr">
        <is>
          <t>Register a child without an episode; unverified guardian sees no private record; later authorized linking preserves history.</t>
        </is>
      </c>
      <c r="K29" s="26" t="inlineStr">
        <is>
          <t>M025 M027 M032 M037</t>
        </is>
      </c>
      <c r="L29" s="26" t="inlineStr">
        <is>
          <t>AT29 AT02</t>
        </is>
      </c>
      <c r="M29" s="26" t="inlineStr">
        <is>
          <t>Developer</t>
        </is>
      </c>
      <c r="N29" s="26" t="inlineStr">
        <is>
          <t>Pediatric reviewer validates history/guardian workflow; D07 access design.</t>
        </is>
      </c>
      <c r="O29" s="26" t="inlineStr">
        <is>
          <t>Stage 8; R02 R04; Baseline §4, §7</t>
        </is>
      </c>
    </row>
    <row r="30" ht="72" customHeight="1">
      <c r="A30" s="27" t="inlineStr">
        <is>
          <t>F023</t>
        </is>
      </c>
      <c r="B30" s="27" t="inlineStr">
        <is>
          <t>SG4</t>
        </is>
      </c>
      <c r="C30" s="27" t="n">
        <v>28</v>
      </c>
      <c r="D30" s="27" t="inlineStr">
        <is>
          <t>Independent maternal/child discharge</t>
        </is>
      </c>
      <c r="E30" s="27" t="inlineStr">
        <is>
          <t>Doctor; nurse; coordinator; family</t>
        </is>
      </c>
      <c r="F30" s="27" t="inlineStr">
        <is>
          <t>Record clinician discharge decision for mother and each child separately. Attach approved instructions, existing prescriptions, teaching acknowledgement, contacts and individual follow-up.</t>
        </is>
      </c>
      <c r="G30" s="27" t="inlineStr">
        <is>
          <t>Subject; clinical approver; actual discharge date; instructions/version; summary; follow-up; outstanding results; responsible clinician.</t>
        </is>
      </c>
      <c r="H30" s="27" t="inlineStr">
        <is>
          <t>Administrative checklist never decides clinical readiness. No feeding/diaper metric unlocks discharge. Mother and twins may have different dates/facilities.</t>
        </is>
      </c>
      <c r="I30" s="27" t="inlineStr">
        <is>
          <t>Print and reviewed audio for home care; practical follow-up is assigned only to available authorized staff.</t>
        </is>
      </c>
      <c r="J30" s="27" t="inlineStr">
        <is>
          <t>Three different discharge dates for mother/twins; each retains correct instructions and next contact.</t>
        </is>
      </c>
      <c r="K30" s="27" t="inlineStr">
        <is>
          <t>M027 M029 M031 M032</t>
        </is>
      </c>
      <c r="L30" s="27" t="inlineStr">
        <is>
          <t>AT16</t>
        </is>
      </c>
      <c r="M30" s="27" t="inlineStr">
        <is>
          <t>Developer</t>
        </is>
      </c>
      <c r="N30" s="27" t="inlineStr">
        <is>
          <t>Doctor approves maternal decision; pediatric reviewer approves newborn workflow.</t>
        </is>
      </c>
      <c r="O30" s="27" t="inlineStr">
        <is>
          <t>Stage 5; R04 R05; Baseline §4</t>
        </is>
      </c>
    </row>
    <row r="31" ht="72" customHeight="1">
      <c r="A31" s="26" t="inlineStr">
        <is>
          <t>F024</t>
        </is>
      </c>
      <c r="B31" s="26" t="inlineStr">
        <is>
          <t>SG4</t>
        </is>
      </c>
      <c r="C31" s="26" t="n">
        <v>28</v>
      </c>
      <c r="D31" s="26" t="inlineStr">
        <is>
          <t>Postpartum and newborn follow-up</t>
        </is>
      </c>
      <c r="E31" s="26" t="inlineStr">
        <is>
          <t>Mother; family; ASHA; nurse; clinician</t>
        </is>
      </c>
      <c r="F31" s="26" t="inlineStr">
        <is>
          <t>Maintain separate maternal and newborn plans, scheduled home/clinic contacts and missed-contact follow-up. Record concerns and arrange available feeding/recovery support through usual care.</t>
        </is>
      </c>
      <c r="G31" s="26" t="inlineStr">
        <is>
          <t>Subject plan; approved contact date/type; accepted worker; completion/source; concern; next task; referral.</t>
        </is>
      </c>
      <c r="H31" s="26" t="inlineStr">
        <is>
          <t>No universal home-visit timetable or assumed equipment. No app-generated infection, jaundice, dehydration or mood score. Maternal unresolved needs continue beyond six weeks.</t>
        </is>
      </c>
      <c r="I31" s="26" t="inlineStr">
        <is>
          <t>Allow clinic/phone/assisted contact based on real service availability; unavailable worker needs backup.</t>
        </is>
      </c>
      <c r="J31" s="26" t="inlineStr">
        <is>
          <t>Miss a maternal contact while child contact completes; show independent follow-up and reassignment.</t>
        </is>
      </c>
      <c r="K31" s="26" t="inlineStr">
        <is>
          <t>M029 M031 M044</t>
        </is>
      </c>
      <c r="L31" s="26" t="inlineStr">
        <is>
          <t>AT07 AT16 AT23 AT31</t>
        </is>
      </c>
      <c r="M31" s="26" t="inlineStr">
        <is>
          <t>Developer</t>
        </is>
      </c>
      <c r="N31" s="26" t="inlineStr">
        <is>
          <t>Doctor/pediatric reviewer approves local PNC plans and role limits.</t>
        </is>
      </c>
      <c r="O31" s="26" t="inlineStr">
        <is>
          <t>Stage 6; R03–R06; Baseline §4</t>
        </is>
      </c>
    </row>
    <row r="32" ht="72" customHeight="1">
      <c r="A32" s="27" t="inlineStr">
        <is>
          <t>F025</t>
        </is>
      </c>
      <c r="B32" s="27" t="inlineStr">
        <is>
          <t>SG4</t>
        </is>
      </c>
      <c r="C32" s="27" t="n">
        <v>28</v>
      </c>
      <c r="D32" s="27" t="inlineStr">
        <is>
          <t>Private wellbeing and safety concerns</t>
        </is>
      </c>
      <c r="E32" s="27" t="inlineStr">
        <is>
          <t>Patient; authorized coordinator; clinician</t>
        </is>
      </c>
      <c r="F32" s="27" t="inlineStr">
        <is>
          <t>Provide a private concern/callback path for recovery, feeding, wellbeing, adolescent or safeguarding needs. Route only to authorized staff and record contact preferences.</t>
        </is>
      </c>
      <c r="G32" s="27" t="inlineStr">
        <is>
          <t>Concern category/text or original voice; restricted subject; safe contact preference; assigned owner; referral/outcome.</t>
        </is>
      </c>
      <c r="H32" s="27" t="inlineStr">
        <is>
          <t>No automatic caregiver disclosure or symptom interpretation. Do not promise continuous monitoring. Use approved direct urgent route outside staffed response.</t>
        </is>
      </c>
      <c r="I32" s="27" t="inlineStr">
        <is>
          <t>Shared handset notification reveals minimal detail. Offer a safe telephone or in-person route where digital privacy is limited.</t>
        </is>
      </c>
      <c r="J32" s="27" t="inlineStr">
        <is>
          <t>Caregiver cannot access a private concern; authorized staff receives it with owner and appropriate contact route.</t>
        </is>
      </c>
      <c r="K32" s="27" t="inlineStr">
        <is>
          <t>M029 M031 M043 M044</t>
        </is>
      </c>
      <c r="L32" s="27" t="inlineStr">
        <is>
          <t>AT28 AT22 AT27 AT31</t>
        </is>
      </c>
      <c r="M32" s="27" t="inlineStr">
        <is>
          <t>Developer</t>
        </is>
      </c>
      <c r="N32" s="27" t="inlineStr">
        <is>
          <t>Doctor/facility approves confidential routing and after-hours instructions.</t>
        </is>
      </c>
      <c r="O32" s="27" t="inlineStr">
        <is>
          <t>Stage 6; R02 R07 R11; Baseline §2, §4</t>
        </is>
      </c>
    </row>
    <row r="33" ht="72" customHeight="1">
      <c r="A33" s="26" t="inlineStr">
        <is>
          <t>F026</t>
        </is>
      </c>
      <c r="B33" s="26" t="inlineStr">
        <is>
          <t>SG4</t>
        </is>
      </c>
      <c r="C33" s="26" t="n">
        <v>28</v>
      </c>
      <c r="D33" s="26" t="inlineStr">
        <is>
          <t>Reported loss and immediate message pause</t>
        </is>
      </c>
      <c r="E33" s="26" t="inlineStr">
        <is>
          <t>Authorized staff; doctor; pediatric reviewer</t>
        </is>
      </c>
      <c r="F33" s="26" t="inlineStr">
        <is>
          <t>On reported loss, pause incompatible pending messages immediately; clinician later records confirmed outcome/source and appropriate follow-up. Preserve maternal support and unaffected sibling care.</t>
        </is>
      </c>
      <c r="G33" s="26" t="inlineStr">
        <is>
          <t>Reported/confirmed outcome; subject/episode; report source/time; pause scope/reason; confirming clinician; retained follow-up.</t>
        </is>
      </c>
      <c r="H33" s="26" t="inlineStr">
        <is>
          <t>Include miscarriage, termination, stillbirth and neonatal death sensitively. Final send rechecks pause. Already accepted provider messages may not be retractable; disclose in-flight limitation.</t>
        </is>
      </c>
      <c r="I33" s="26" t="inlineStr">
        <is>
          <t>Human-assisted report is enough to initiate protective pause. Do not require a completed clinical record before pausing.</t>
        </is>
      </c>
      <c r="J33" s="26" t="inlineStr">
        <is>
          <t>Pause queued routine/celebratory messages; confirm one twin outcome; other child and appropriate maternal tasks continue.</t>
        </is>
      </c>
      <c r="K33" s="26" t="inlineStr">
        <is>
          <t>M026 M028 M031 M032</t>
        </is>
      </c>
      <c r="L33" s="26" t="inlineStr">
        <is>
          <t>AT17 AT12</t>
        </is>
      </c>
      <c r="M33" s="26" t="inlineStr">
        <is>
          <t>Developer</t>
        </is>
      </c>
      <c r="N33" s="26" t="inlineStr">
        <is>
          <t>Doctor confirms outcomes and approved communication after loss.</t>
        </is>
      </c>
      <c r="O33" s="26" t="inlineStr">
        <is>
          <t>R04; Baseline §4, §8</t>
        </is>
      </c>
    </row>
    <row r="34" ht="72" customHeight="1">
      <c r="A34" s="27" t="inlineStr">
        <is>
          <t>F027</t>
        </is>
      </c>
      <c r="B34" s="27" t="inlineStr">
        <is>
          <t>SG4</t>
        </is>
      </c>
      <c r="C34" s="27" t="n">
        <v>28</v>
      </c>
      <c r="D34" s="27" t="inlineStr">
        <is>
          <t>Transfer and receiving handover</t>
        </is>
      </c>
      <c r="E34" s="27" t="inlineStr">
        <is>
          <t>Coordinator; sending/receiving clinicians; family</t>
        </is>
      </c>
      <c r="F34" s="27" t="inlineStr">
        <is>
          <t>Record movement to another facility/district or parental home. Share only authorized records, identify receiving owner, record acceptance and carry unresolved tasks forward.</t>
        </is>
      </c>
      <c r="G34" s="27" t="inlineStr">
        <is>
          <t>Sending/receiving facility; sharing authority/scope; contact; receiving owner; acceptance; pending tasks; actual transfer date/source.</t>
        </is>
      </c>
      <c r="H34" s="27" t="inlineStr">
        <is>
          <t>Changing facility does not close tasks or grant blanket cross-organization access. Mother and child can transfer separately. Pending acceptance stays visible.</t>
        </is>
      </c>
      <c r="I34" s="27" t="inlineStr">
        <is>
          <t>Manual phone confirmation and agreed record handover; no receiving-system integration assumed.</t>
        </is>
      </c>
      <c r="J34" s="27" t="inlineStr">
        <is>
          <t>Transfer with open results/referral tasks; receiving owner accepts; historical source/date and access remain correct.</t>
        </is>
      </c>
      <c r="K34" s="27" t="inlineStr">
        <is>
          <t>M026 M028 M031 M032</t>
        </is>
      </c>
      <c r="L34" s="27" t="inlineStr">
        <is>
          <t>AT18 AT02</t>
        </is>
      </c>
      <c r="M34" s="27" t="inlineStr">
        <is>
          <t>Developer</t>
        </is>
      </c>
      <c r="N34" s="27" t="inlineStr">
        <is>
          <t>Facility confirms sharing/acceptance procedure; doctor approves clinical handover.</t>
        </is>
      </c>
      <c r="O34" s="27" t="inlineStr">
        <is>
          <t>R04; Stages 4–6; Baseline §4, §7</t>
        </is>
      </c>
    </row>
    <row r="35" ht="72" customHeight="1">
      <c r="A35" s="26" t="inlineStr">
        <is>
          <t>F028</t>
        </is>
      </c>
      <c r="B35" s="26" t="inlineStr">
        <is>
          <t>SG4</t>
        </is>
      </c>
      <c r="C35" s="26" t="n">
        <v>28</v>
      </c>
      <c r="D35" s="26" t="inlineStr">
        <is>
          <t>Readmission and neonatal special care</t>
        </is>
      </c>
      <c r="E35" s="26" t="inlineStr">
        <is>
          <t>Doctor; pediatric team; coordinator</t>
        </is>
      </c>
      <c r="F35" s="26" t="inlineStr">
        <is>
          <t>Record clinician-supplied special-care/readmission event, attach available summary and update individual follow-up/receiving responsibility.</t>
        </is>
      </c>
      <c r="G35" s="26" t="inlineStr">
        <is>
          <t>Subject; event date/source; care facility; supplied instructions; outstanding work; clinician; revised plan version.</t>
        </is>
      </c>
      <c r="H35" s="26" t="inlineStr">
        <is>
          <t>Preserve prior birth/discharge history. No software inference of need for admission or special care. Do not replace sibling plans.</t>
        </is>
      </c>
      <c r="I35" s="26" t="inlineStr">
        <is>
          <t>Document services actually available; arrange existing clinical support manually.</t>
        </is>
      </c>
      <c r="J35" s="26" t="inlineStr">
        <is>
          <t>Readmit one child after discharge; earlier events remain and only affected future tasks change.</t>
        </is>
      </c>
      <c r="K35" s="26" t="inlineStr">
        <is>
          <t>M028 M029 M031 M032</t>
        </is>
      </c>
      <c r="L35" s="26" t="inlineStr">
        <is>
          <t>AT18 AT16</t>
        </is>
      </c>
      <c r="M35" s="26" t="inlineStr">
        <is>
          <t>Developer</t>
        </is>
      </c>
      <c r="N35" s="26" t="inlineStr">
        <is>
          <t>Maternal/pediatric reviewer approves relevant instructions.</t>
        </is>
      </c>
      <c r="O35" s="26" t="inlineStr">
        <is>
          <t>Stages 5–6; R04; Baseline §4</t>
        </is>
      </c>
    </row>
    <row r="36" ht="72" customHeight="1">
      <c r="A36" s="27" t="inlineStr">
        <is>
          <t>F029</t>
        </is>
      </c>
      <c r="B36" s="27" t="inlineStr">
        <is>
          <t>SG5</t>
        </is>
      </c>
      <c r="C36" s="27" t="n">
        <v>42</v>
      </c>
      <c r="D36" s="27" t="inlineStr">
        <is>
          <t>Vaccination plan and evidence</t>
        </is>
      </c>
      <c r="E36" s="27" t="inlineStr">
        <is>
          <t>Parent/guardian; vaccinator; pediatric reviewer</t>
        </is>
      </c>
      <c r="F36" s="27" t="inlineStr">
        <is>
          <t>Show clinician/vaccinator-approved planned dates. Record outside/reported doses, verify evidence and record administered doses. Update reminders after approved plan correction.</t>
        </is>
      </c>
      <c r="G36" s="27" t="inlineStr">
        <is>
          <t>Child; vaccine/dose; planned and actual dates; provider; source/evidence; verification status/actor; plan version.</t>
        </is>
      </c>
      <c r="H36" s="27" t="inlineStr">
        <is>
          <t>Planned, reported, verified administered and unknown are distinct. Do not calculate catch-up advice or let parent choose UIP/IAP clinical standard. Prevent duplicate dose/reminder effects.</t>
        </is>
      </c>
      <c r="I36" s="27" t="inlineStr">
        <is>
          <t>Confirm community-session dates manually; accept MCP/official evidence. Export is a care record, not an official vaccine certificate.</t>
        </is>
      </c>
      <c r="J36" s="27" t="inlineStr">
        <is>
          <t>Verify an outside dose; correct plan without duplicate record/reminder; unknown dose remains unknown.</t>
        </is>
      </c>
      <c r="K36" s="27" t="inlineStr">
        <is>
          <t>M033 M035 M039 M040</t>
        </is>
      </c>
      <c r="L36" s="27" t="inlineStr">
        <is>
          <t>AT19</t>
        </is>
      </c>
      <c r="M36" s="27" t="inlineStr">
        <is>
          <t>Developer</t>
        </is>
      </c>
      <c r="N36" s="27" t="inlineStr">
        <is>
          <t>Pediatric reviewer/vaccinator approves schedule and record fields.</t>
        </is>
      </c>
      <c r="O36" s="27" t="inlineStr">
        <is>
          <t>Stage 7–8; R03 R05; Baseline §4</t>
        </is>
      </c>
    </row>
    <row r="37" ht="72" customHeight="1">
      <c r="A37" s="26" t="inlineStr">
        <is>
          <t>F030</t>
        </is>
      </c>
      <c r="B37" s="26" t="inlineStr">
        <is>
          <t>SG5</t>
        </is>
      </c>
      <c r="C37" s="26" t="n">
        <v>42</v>
      </c>
      <c r="D37" s="26" t="inlineStr">
        <is>
          <t>Child measurements and community records</t>
        </is>
      </c>
      <c r="E37" s="26" t="inlineStr">
        <is>
          <t>Authorized worker; nurse; pediatric reviewer</t>
        </is>
      </c>
      <c r="F37" s="26" t="inlineStr">
        <is>
          <t>Record dated measurements, outside Anganwadi/community care and source evidence. Display factual history with open review appointments and referrals.</t>
        </is>
      </c>
      <c r="G37" s="26" t="inlineStr">
        <is>
          <t>Child; observation/value/unit; actual service date; entry date; source; verification; attached evidence; review task.</t>
        </is>
      </c>
      <c r="H37" s="26" t="inlineStr">
        <is>
          <t>No growth chart interpretation, malnutrition/developmental classification or automated screening. No government sync. Correction preserves original evidence/history.</t>
        </is>
      </c>
      <c r="I37" s="26" t="inlineStr">
        <is>
          <t>Manual source-dated entry with available records/equipment; missing measurements remain unknown.</t>
        </is>
      </c>
      <c r="J37" s="26" t="inlineStr">
        <is>
          <t>Outside service keeps actual date and source; raw measurements produce no classification.</t>
        </is>
      </c>
      <c r="K37" s="26" t="inlineStr">
        <is>
          <t>M035 M039 M040</t>
        </is>
      </c>
      <c r="L37" s="26" t="inlineStr">
        <is>
          <t>AT19 AT31</t>
        </is>
      </c>
      <c r="M37" s="26" t="inlineStr">
        <is>
          <t>Developer</t>
        </is>
      </c>
      <c r="N37" s="26" t="inlineStr">
        <is>
          <t>Pediatric reviewer approves units, fields and review process.</t>
        </is>
      </c>
      <c r="O37" s="26" t="inlineStr">
        <is>
          <t>Stages 7–8; R03 R05; Baseline §4, §7</t>
        </is>
      </c>
    </row>
    <row r="38" ht="72" customHeight="1">
      <c r="A38" s="27" t="inlineStr">
        <is>
          <t>F031</t>
        </is>
      </c>
      <c r="B38" s="27" t="inlineStr">
        <is>
          <t>SG5</t>
        </is>
      </c>
      <c r="C38" s="27" t="n">
        <v>42</v>
      </c>
      <c r="D38" s="27" t="inlineStr">
        <is>
          <t>Infancy and early-childhood continuity</t>
        </is>
      </c>
      <c r="E38" s="27" t="inlineStr">
        <is>
          <t>Parent/guardian; coordinator; pediatric team</t>
        </is>
      </c>
      <c r="F38" s="27" t="inlineStr">
        <is>
          <t>Provide child-specific next actions, review requests, approved food/hygiene/oral-care/safety/play guidance and tracked referrals from infancy through age five.</t>
        </is>
      </c>
      <c r="G38" s="27" t="inlineStr">
        <is>
          <t>Child stage/date precision; approved review plan; concern; appointment; referral; source-dated community record; education version.</t>
        </is>
      </c>
      <c r="H38" s="27" t="inlineStr">
        <is>
          <t>Review frequency comes from clinicians/programmes. Maternal episode closure does not end child work. Do not require annual-only visits or infer development from logs.</t>
        </is>
      </c>
      <c r="I38" s="27" t="inlineStr">
        <is>
          <t>Same care features through WhatsApp/assisted and web channels based on capability. Local community sessions confirmed manually.</t>
        </is>
      </c>
      <c r="J38" s="27" t="inlineStr">
        <is>
          <t>Close maternal episode and continue child appointments, guidance and referral follow-up.</t>
        </is>
      </c>
      <c r="K38" s="27" t="inlineStr">
        <is>
          <t>M035 M039 M040</t>
        </is>
      </c>
      <c r="L38" s="27" t="inlineStr">
        <is>
          <t>AT19 AT29 AT31</t>
        </is>
      </c>
      <c r="M38" s="27" t="inlineStr">
        <is>
          <t>Developer</t>
        </is>
      </c>
      <c r="N38" s="27" t="inlineStr">
        <is>
          <t>Pediatric reviewer approves stage guidance and local intervals.</t>
        </is>
      </c>
      <c r="O38" s="27" t="inlineStr">
        <is>
          <t>Stages 7–8; R02 R03 R05; Baseline §4</t>
        </is>
      </c>
    </row>
    <row r="39" ht="72" customHeight="1">
      <c r="A39" s="26" t="inlineStr">
        <is>
          <t>F032</t>
        </is>
      </c>
      <c r="B39" s="26" t="inlineStr">
        <is>
          <t>SG5</t>
        </is>
      </c>
      <c r="C39" s="26" t="n">
        <v>42</v>
      </c>
      <c r="D39" s="26" t="inlineStr">
        <is>
          <t>Guardian permissions lifecycle</t>
        </is>
      </c>
      <c r="E39" s="26" t="inlineStr">
        <is>
          <t>Verified guardian; authorized staff</t>
        </is>
      </c>
      <c r="F39" s="26" t="inlineStr">
        <is>
          <t>Verify legal/authorized relationship under the agreed process, grant scoped child access, update guardianship changes and revoke affected access.</t>
        </is>
      </c>
      <c r="G39" s="26" t="inlineStr">
        <is>
          <t>Child; guardian person; authority evidence/status; verifier/date; permitted scope; grant/revocation; reason.</t>
        </is>
      </c>
      <c r="H39" s="26" t="inlineStr">
        <is>
          <t>Relationship assertion or shared phone alone grants no access. Check authorization before every record/media request. Existing basic verification starts at SG4 child entry.</t>
        </is>
      </c>
      <c r="I39" s="26" t="inlineStr">
        <is>
          <t>Offer staff-assisted verification using locally acceptable evidence and a documented exception path.</t>
        </is>
      </c>
      <c r="J39" s="26" t="inlineStr">
        <is>
          <t>Wrong/unverified guardian denied; changed or revoked grant cannot retrieve child record/download.</t>
        </is>
      </c>
      <c r="K39" s="26" t="inlineStr">
        <is>
          <t>M034 M037 M040</t>
        </is>
      </c>
      <c r="L39" s="26" t="inlineStr">
        <is>
          <t>AT29 AT28 AT22</t>
        </is>
      </c>
      <c r="M39" s="26" t="inlineStr">
        <is>
          <t>Developer</t>
        </is>
      </c>
      <c r="N39" s="26" t="inlineStr">
        <is>
          <t>D07 plus facility/pediatric approval of verification process.</t>
        </is>
      </c>
      <c r="O39" s="26" t="inlineStr">
        <is>
          <t>R02 R07; Baseline §2, §4</t>
        </is>
      </c>
    </row>
    <row r="40" ht="72" customHeight="1">
      <c r="A40" s="27" t="inlineStr">
        <is>
          <t>F033</t>
        </is>
      </c>
      <c r="B40" s="27" t="inlineStr">
        <is>
          <t>SG5</t>
        </is>
      </c>
      <c r="C40" s="27" t="n">
        <v>42</v>
      </c>
      <c r="D40" s="27" t="inlineStr">
        <is>
          <t>Limited offline field visit drafts</t>
        </is>
      </c>
      <c r="E40" s="27" t="inlineStr">
        <is>
          <t>Assigned field worker</t>
        </is>
      </c>
      <c r="F40" s="27" t="inlineStr">
        <is>
          <t>On an approved device, save a permitted visit draft for an assigned caseload, show sync state, retry when online and resolve conflicts through an authorized person.</t>
        </is>
      </c>
      <c r="G40" s="27" t="inlineStr">
        <is>
          <t>Operation ID; authorized subject; record version; draft fields; event date; local timestamp; sync state/error; last sync.</t>
        </is>
      </c>
      <c r="H40" s="27" t="inlineStr">
        <is>
          <t>Drafts only, not a replicated medical record. Clinical-plan/discharge changes require online authorization. Retry creates one record; stale draft cannot overwrite newer plan.</t>
        </is>
      </c>
      <c r="I40" s="27" t="inlineStr">
        <is>
          <t>Visible pending/failed/synced states on low-end phones. Paper/call fallback; protect/clear local data under agreed logout policy.</t>
        </is>
      </c>
      <c r="J40" s="27" t="inlineStr">
        <is>
          <t>Disconnect, draft, change plan online, retry twice and log out; one visit saved and conflict stays visible.</t>
        </is>
      </c>
      <c r="K40" s="27" t="inlineStr">
        <is>
          <t>M033 M036 M040</t>
        </is>
      </c>
      <c r="L40" s="27" t="inlineStr">
        <is>
          <t>AT20 AT24</t>
        </is>
      </c>
      <c r="M40" s="27" t="inlineStr">
        <is>
          <t>Developer</t>
        </is>
      </c>
      <c r="N40" s="27" t="inlineStr">
        <is>
          <t>Tech lead approves allowed local fields/device and cleanup policy.</t>
        </is>
      </c>
      <c r="O40" s="27" t="inlineStr">
        <is>
          <t>R08; Baseline §5</t>
        </is>
      </c>
    </row>
    <row r="41" ht="72" customHeight="1">
      <c r="A41" s="26" t="inlineStr">
        <is>
          <t>F034</t>
        </is>
      </c>
      <c r="B41" s="26" t="inlineStr">
        <is>
          <t>SG5</t>
        </is>
      </c>
      <c r="C41" s="26" t="n">
        <v>42</v>
      </c>
      <c r="D41" s="26" t="inlineStr">
        <is>
          <t>Content publishing and withdrawal</t>
        </is>
      </c>
      <c r="E41" s="26" t="inlineStr">
        <is>
          <t>Content editor; language reviewer; doctor; pediatric reviewer</t>
        </is>
      </c>
      <c r="F41" s="26" t="inlineStr">
        <is>
          <t>Prepare text/audio version, record source and language review, obtain clinical approval, publish approved version and withdraw recalled material with reason.</t>
        </is>
      </c>
      <c r="G41" s="26" t="inlineStr">
        <is>
          <t>Topic; stage; language; text/audio version; source; approver; review date; publish/withdraw status/time; expiry.</t>
        </is>
      </c>
      <c r="H41" s="26" t="inlineStr">
        <is>
          <t>Initial approved playback starts at SG3. Only approved matching versions distribute. Withdrawal stops new sends and invalidates links; public cache expiry limits are documented.</t>
        </is>
      </c>
      <c r="I41" s="26" t="inlineStr">
        <is>
          <t>Small public audio has text equivalent and contains no patient records. Reviewer checks understandable pilot-language narration.</t>
        </is>
      </c>
      <c r="J41" s="26" t="inlineStr">
        <is>
          <t>Reject unapproved publish; publish approved version; withdraw and test old link, queued sends and cache behavior.</t>
        </is>
      </c>
      <c r="K41" s="26" t="inlineStr">
        <is>
          <t>M034 M037 M038 M039 M047</t>
        </is>
      </c>
      <c r="L41" s="26" t="inlineStr">
        <is>
          <t>AT21 AT14</t>
        </is>
      </c>
      <c r="M41" s="26" t="inlineStr">
        <is>
          <t>Developer</t>
        </is>
      </c>
      <c r="N41" s="26" t="inlineStr">
        <is>
          <t>Maternal/pediatric and language approvals required for their actual versions.</t>
        </is>
      </c>
      <c r="O41" s="26" t="inlineStr">
        <is>
          <t>R06; Baseline §5</t>
        </is>
      </c>
    </row>
    <row r="42" ht="72" customHeight="1">
      <c r="A42" s="27" t="inlineStr">
        <is>
          <t>F035</t>
        </is>
      </c>
      <c r="B42" s="27" t="inlineStr">
        <is>
          <t>SG5</t>
        </is>
      </c>
      <c r="C42" s="27" t="n">
        <v>42</v>
      </c>
      <c r="D42" s="27" t="inlineStr">
        <is>
          <t>Twelve education packages</t>
        </is>
      </c>
      <c r="E42" s="27" t="inlineStr">
        <is>
          <t>Mother/family; doctor; pediatric reviewer</t>
        </is>
      </c>
      <c r="F42" s="27" t="inlineStr">
        <is>
          <t>Complete packages for visit/test preparation, prescribed-medicine instructions, affordable nutrition, birth planning, urgent help, maternal recovery, feeding, newborn care, wellbeing, family planning, child play and vaccines.</t>
        </is>
      </c>
      <c r="G42" s="27" t="inlineStr">
        <is>
          <t>For each topic: English and pilot-language text; short reviewed audio; source; version; clinician/language approver; review date.</t>
        </is>
      </c>
      <c r="H42" s="27" t="inlineStr">
        <is>
          <t>Match confirmed stage/plan, not inferred disease. Education cannot prescribe treatment. All twelve packages required at SG5; early stage material reviewed incrementally.</t>
        </is>
      </c>
      <c r="I42" s="27" t="inlineStr">
        <is>
          <t>Use affordable local examples, pictures where helpful, large audio controls and printed next steps. No blanket translation by unchecked AI.</t>
        </is>
      </c>
      <c r="J42" s="27" t="inlineStr">
        <is>
          <t>Inventory twelve topics in both languages; play audio and inspect source/version/approval for maternal and child examples.</t>
        </is>
      </c>
      <c r="K42" s="27" t="inlineStr">
        <is>
          <t>M038 M039 M045 M047</t>
        </is>
      </c>
      <c r="L42" s="27" t="inlineStr">
        <is>
          <t>AT21 AT14 AT24</t>
        </is>
      </c>
      <c r="M42" s="27" t="inlineStr">
        <is>
          <t>Team lead</t>
        </is>
      </c>
      <c r="N42" s="27" t="inlineStr">
        <is>
          <t>Doctor/pediatric approval; named narrator/language reviewer under D08.</t>
        </is>
      </c>
      <c r="O42" s="27" t="inlineStr">
        <is>
          <t>R06; Baseline §5</t>
        </is>
      </c>
    </row>
    <row r="43" ht="72" customHeight="1">
      <c r="A43" s="26" t="inlineStr">
        <is>
          <t>F036</t>
        </is>
      </c>
      <c r="B43" s="26" t="inlineStr">
        <is>
          <t>SG5</t>
        </is>
      </c>
      <c r="C43" s="26" t="n">
        <v>42</v>
      </c>
      <c r="D43" s="26" t="inlineStr">
        <is>
          <t>Privacy notice and rights requests</t>
        </is>
      </c>
      <c r="E43" s="26" t="inlineStr">
        <is>
          <t>Patient; coordinator; facility rights owner</t>
        </is>
      </c>
      <c r="F43" s="26" t="inlineStr">
        <is>
          <t>Provide understandable notice/channel choices. Accept correction, record export, deletion-review and grievance requests; verify requester, assign owner, record decision and response.</t>
        </is>
      </c>
      <c r="G43" s="26" t="inlineStr">
        <is>
          <t>Request type; subject/authority; received date; owner; progress; decision/reason; response; authorized export; audit reference.</t>
        </is>
      </c>
      <c r="H43" s="26" t="inlineStr">
        <is>
          <t>No automatic deletion of required clinical records. Retention/lawful processing decided for actual pilot. Export only authorized records; ordinary logs exclude sensitive payloads.</t>
        </is>
      </c>
      <c r="I43" s="26" t="inlineStr">
        <is>
          <t>Assisted/telephone request route for users unable to use web; private contact preferences respected.</t>
        </is>
      </c>
      <c r="J43" s="26" t="inlineStr">
        <is>
          <t>Submit all four request types; trace owner/outcome; guessed file URL and unauthorized export fail.</t>
        </is>
      </c>
      <c r="K43" s="26" t="inlineStr">
        <is>
          <t>M043 M046 M048</t>
        </is>
      </c>
      <c r="L43" s="26" t="inlineStr">
        <is>
          <t>AT22 AT32</t>
        </is>
      </c>
      <c r="M43" s="26" t="inlineStr">
        <is>
          <t>Developer</t>
        </is>
      </c>
      <c r="N43" s="26" t="inlineStr">
        <is>
          <t>D09; facility/privacy review defines retention and handling policy.</t>
        </is>
      </c>
      <c r="O43" s="26" t="inlineStr">
        <is>
          <t>R07; Baseline §5, §8</t>
        </is>
      </c>
    </row>
    <row r="44" ht="72" customHeight="1">
      <c r="A44" s="27" t="inlineStr">
        <is>
          <t>F037</t>
        </is>
      </c>
      <c r="B44" s="27" t="inlineStr">
        <is>
          <t>SG5</t>
        </is>
      </c>
      <c r="C44" s="27" t="n">
        <v>42</v>
      </c>
      <c r="D44" s="27" t="inlineStr">
        <is>
          <t>Audit and correction visibility</t>
        </is>
      </c>
      <c r="E44" s="27" t="inlineStr">
        <is>
          <t>Authorized reviewer; clinician; facility admin</t>
        </is>
      </c>
      <c r="F44" s="27" t="inlineStr">
        <is>
          <t>Show attributable history of plans, outcomes, clinical review, sharing, overrides and reminder changes. Corrections preserve event date and prior history.</t>
        </is>
      </c>
      <c r="G44" s="27" t="inlineStr">
        <is>
          <t>Actor; time; subject/entity; action; reason; prior/new version reference; actual event date; access scope.</t>
        </is>
      </c>
      <c r="H44" s="27" t="inlineStr">
        <is>
          <t>Audit is protected from routine editing/deletion; privileged maintenance is controlled. Do not expose all clinical data to admins through audit views.</t>
        </is>
      </c>
      <c r="I44" s="27" t="inlineStr">
        <is>
          <t>Authorized staff can explain who changed a plan without needing server access. Sensitive text/media stays outside general logs.</t>
        </is>
      </c>
      <c r="J44" s="27" t="inlineStr">
        <is>
          <t>Review a corrected date, revoked grant and paused reminder with actor/reason; unauthorized audit access denied.</t>
        </is>
      </c>
      <c r="K44" s="27" t="inlineStr">
        <is>
          <t>M005 M043 M048</t>
        </is>
      </c>
      <c r="L44" s="27" t="inlineStr">
        <is>
          <t>AT04 AT22 AT32</t>
        </is>
      </c>
      <c r="M44" s="27" t="inlineStr">
        <is>
          <t>Developer</t>
        </is>
      </c>
      <c r="N44" s="27" t="inlineStr">
        <is>
          <t>Tech lead approves access and audit integrity.</t>
        </is>
      </c>
      <c r="O44" s="27" t="inlineStr">
        <is>
          <t>R07; Baseline §7–8</t>
        </is>
      </c>
    </row>
    <row r="45" ht="72" customHeight="1">
      <c r="A45" s="26" t="inlineStr">
        <is>
          <t>F038</t>
        </is>
      </c>
      <c r="B45" s="26" t="inlineStr">
        <is>
          <t>SG5</t>
        </is>
      </c>
      <c r="C45" s="26" t="n">
        <v>42</v>
      </c>
      <c r="D45" s="26" t="inlineStr">
        <is>
          <t>Operational worklist and pause controls</t>
        </is>
      </c>
      <c r="E45" s="26" t="inlineStr">
        <is>
          <t>Coordinator; backup; facility/team lead</t>
        </is>
      </c>
      <c r="F45" s="26" t="inlineStr">
        <is>
          <t>Show overdue tasks, missed visits, unreviewed reports, open referrals, pending inbox and failed/uncertain sends. Assign/reassign work and pause affected automation with reason.</t>
        </is>
      </c>
      <c r="G45" s="26" t="inlineStr">
        <is>
          <t>Facility; owner/backup; due age; state; last update; provider status; failure reason; pause scope; actor/time.</t>
        </is>
      </c>
      <c r="H45" s="26" t="inlineStr">
        <is>
          <t>Administrative priorities only. Show visible data freshness. Resume requires authorized review of current eligibility; do not bulk-resend stale jobs.</t>
        </is>
      </c>
      <c r="I45" s="26" t="inlineStr">
        <is>
          <t>Bounded worklists suit busy clinics; phone follow-up remains possible during channel outage.</t>
        </is>
      </c>
      <c r="J45" s="26" t="inlineStr">
        <is>
          <t>Create several unresolved cases, reassign unavailable owner, pause sending and demonstrate owned failure resolution.</t>
        </is>
      </c>
      <c r="K45" s="26" t="inlineStr">
        <is>
          <t>M044 M046 M048</t>
        </is>
      </c>
      <c r="L45" s="26" t="inlineStr">
        <is>
          <t>AT23 AT30 AT27</t>
        </is>
      </c>
      <c r="M45" s="26" t="inlineStr">
        <is>
          <t>Developer</t>
        </is>
      </c>
      <c r="N45" s="26" t="inlineStr">
        <is>
          <t>Facility agrees roster and ownership; tech lead confirms pause permissions.</t>
        </is>
      </c>
      <c r="O45" s="26" t="inlineStr">
        <is>
          <t>R03 R10 R11; Baseline §5, §8</t>
        </is>
      </c>
    </row>
    <row r="46" ht="72" customHeight="1">
      <c r="A46" s="27" t="inlineStr">
        <is>
          <t>F039</t>
        </is>
      </c>
      <c r="B46" s="27" t="inlineStr">
        <is>
          <t>SG5</t>
        </is>
      </c>
      <c r="C46" s="27" t="n">
        <v>42</v>
      </c>
      <c r="D46" s="27" t="inlineStr">
        <is>
          <t>Pilot impact and cost evidence</t>
        </is>
      </c>
      <c r="E46" s="27" t="inlineStr">
        <is>
          <t>Team lead; facility owner</t>
        </is>
      </c>
      <c r="F46" s="27" t="inlineStr">
        <is>
          <t>Show defined administrative measures and capture baseline/weekly observations: missed-visit follow-up, report-review time, referral closure, message failures/cost and staff time per request.</t>
        </is>
      </c>
      <c r="G46" s="27" t="inlineStr">
        <is>
          <t>Metric definition; observation window; numerator/denominator; timestamp basis; baseline; cost source/currency; staff time sample.</t>
        </is>
      </c>
      <c r="H46" s="27" t="inlineStr">
        <is>
          <t>Missing data is unknown, not zero. No clinical outcome claim from small POC. Distinguish delivered messages from reviewed requests and closed referrals.</t>
        </is>
      </c>
      <c r="I46" s="27" t="inlineStr">
        <is>
          <t>Compare operational results by setting without ranking patients or assigning clinical standards by tier.</t>
        </is>
      </c>
      <c r="J46" s="27" t="inlineStr">
        <is>
          <t>Trace sample metrics back to source events and explain baseline/denominator and cost coverage.</t>
        </is>
      </c>
      <c r="K46" s="27" t="inlineStr">
        <is>
          <t>M044 M046 M053</t>
        </is>
      </c>
      <c r="L46" s="27" t="inlineStr">
        <is>
          <t>AT23 AT26 AT27</t>
        </is>
      </c>
      <c r="M46" s="27" t="inlineStr">
        <is>
          <t>Developer</t>
        </is>
      </c>
      <c r="N46" s="27" t="inlineStr">
        <is>
          <t>D10; team lead approves metric definitions, budget and thresholds.</t>
        </is>
      </c>
      <c r="O46" s="27" t="inlineStr">
        <is>
          <t>R12; Baseline §8–9</t>
        </is>
      </c>
    </row>
    <row r="47" ht="72" customHeight="1">
      <c r="A47" s="26" t="inlineStr">
        <is>
          <t>F040</t>
        </is>
      </c>
      <c r="B47" s="26" t="inlineStr">
        <is>
          <t>SG5</t>
        </is>
      </c>
      <c r="C47" s="26" t="n">
        <v>42</v>
      </c>
      <c r="D47" s="26" t="inlineStr">
        <is>
          <t>Assistive scope and human override</t>
        </is>
      </c>
      <c r="E47" s="26" t="inlineStr">
        <is>
          <t>All roles</t>
        </is>
      </c>
      <c r="F47" s="26" t="inlineStr">
        <is>
          <t>Run complete care journeys with AI disabled. Route clinical questions to qualified people; allow authorized correction, pause, reassignment and override with a reason/audit.</t>
        </is>
      </c>
      <c r="G47" s="26" t="inlineStr">
        <is>
          <t>Approved content/plan versions; human decision; override scope/reason; audit; assigned clinical route.</t>
        </is>
      </c>
      <c r="H47" s="26" t="inlineStr">
        <is>
          <t>No diagnosis, treatment recommendations, clinical scoring, screening or medical-data interpretation. No autonomous clinical advice, generative FAQ/transcription or growth interpretation in MVP.</t>
        </is>
      </c>
      <c r="I47" s="26" t="inlineStr">
        <is>
          <t>Core work must function through web/assisted care when optional AI or channel service is unavailable.</t>
        </is>
      </c>
      <c r="J47" s="26" t="inlineStr">
        <is>
          <t>Execute maternal and child paths with optional AI off; verify all clinical outcomes come from approved content or human entry.</t>
        </is>
      </c>
      <c r="K47" s="26" t="inlineStr">
        <is>
          <t>M041 M045 M047 M048</t>
        </is>
      </c>
      <c r="L47" s="26" t="inlineStr">
        <is>
          <t>AT31</t>
        </is>
      </c>
      <c r="M47" s="26" t="inlineStr">
        <is>
          <t>Developer</t>
        </is>
      </c>
      <c r="N47" s="26" t="inlineStr">
        <is>
          <t>Doctor/pediatric review scope; tech lead verifies dependencies.</t>
        </is>
      </c>
      <c r="O47" s="26" t="inlineStr">
        <is>
          <t>MVP boundary; R09 amended; Baseline §1, §9</t>
        </is>
      </c>
    </row>
    <row r="48" ht="72" customHeight="1">
      <c r="A48" s="27" t="inlineStr">
        <is>
          <t>F041</t>
        </is>
      </c>
      <c r="B48" s="27" t="inlineStr">
        <is>
          <t>SG6</t>
        </is>
      </c>
      <c r="C48" s="27" t="n">
        <v>49</v>
      </c>
      <c r="D48" s="27" t="inlineStr">
        <is>
          <t>Rural and semi-urban usability</t>
        </is>
      </c>
      <c r="E48" s="27" t="inlineStr">
        <is>
          <t>Tester; representative families; doctor</t>
        </is>
      </c>
      <c r="F48" s="27" t="inlineStr">
        <is>
          <t>Observe next-action, audio and help tasks with at least three participants per setting, including shared-phone and limited-literacy use. Record assistance, misunderstanding and fixes.</t>
        </is>
      </c>
      <c r="G48" s="27" t="inlineStr">
        <is>
          <t>Scenario/device/network; participant category without identifiers; task outcome; assistance; feedback; defect/retest.</t>
        </is>
      </c>
      <c r="H48" s="27" t="inlineStr">
        <is>
          <t>Proposed gate: at least 5/6 succeed with intended assistance and none has a safety-critical misunderstanding. Use synthetic records; do not claim clinical benefit.</t>
        </is>
      </c>
      <c r="I48" s="27" t="inlineStr">
        <is>
          <t>Test low-end phones, weak data, large text, audio controls and no-phone assisted/print route.</t>
        </is>
      </c>
      <c r="J48" s="27" t="inlineStr">
        <is>
          <t>Observed outcomes and retests meet agreed gate; critical misunderstanding is corrected before release.</t>
        </is>
      </c>
      <c r="K48" s="27" t="inlineStr">
        <is>
          <t>M051 M053 M054 M055 M030</t>
        </is>
      </c>
      <c r="L48" s="27" t="inlineStr">
        <is>
          <t>AT24 AT26</t>
        </is>
      </c>
      <c r="M48" s="27" t="inlineStr">
        <is>
          <t>Tester</t>
        </is>
      </c>
      <c r="N48" s="27" t="inlineStr">
        <is>
          <t>Doctor validates comprehension; team lead accepts setting coverage.</t>
        </is>
      </c>
      <c r="O48" s="27" t="inlineStr">
        <is>
          <t>R08 R12; Baseline §8</t>
        </is>
      </c>
    </row>
    <row r="49" ht="72" customHeight="1">
      <c r="A49" s="26" t="inlineStr">
        <is>
          <t>F042</t>
        </is>
      </c>
      <c r="B49" s="26" t="inlineStr">
        <is>
          <t>SG6</t>
        </is>
      </c>
      <c r="C49" s="26" t="n">
        <v>49</v>
      </c>
      <c r="D49" s="26" t="inlineStr">
        <is>
          <t>Staffed support and stop rehearsal</t>
        </is>
      </c>
      <c r="E49" s="26" t="inlineStr">
        <is>
          <t>Facility owner; coordinator; backup; clinical contact</t>
        </is>
      </c>
      <c r="F49" s="26" t="inlineStr">
        <is>
          <t>Name live support/backup, response hours and urgent escalation. Rehearse after-hours, absent staff, disclosure concern and channel outage. Stop enrolment/affected automation when needed.</t>
        </is>
      </c>
      <c r="G49" s="26" t="inlineStr">
        <is>
          <t>Roster; hours; response commitment; contacts/verification; escalation owner; stop/resume authority; incident record.</t>
        </is>
      </c>
      <c r="H49" s="26" t="inlineStr">
        <is>
          <t>Doctor advisory 2h/week is not inbox coverage. Staffing must exist before first patient. One rural and one semi-urban site, up to ten families each only if staffing supports it.</t>
        </is>
      </c>
      <c r="I49" s="26" t="inlineStr">
        <is>
          <t>Ordinary verified phone/in-person fallback; no promise of 24/7 app monitoring or ambulance integration.</t>
        </is>
      </c>
      <c r="J49" s="26" t="inlineStr">
        <is>
          <t>Backup takes an unowned request; public hours/contacts correct; authorized person can stop enrolment/sending.</t>
        </is>
      </c>
      <c r="K49" s="26" t="inlineStr">
        <is>
          <t>M046 M053 M054 M055</t>
        </is>
      </c>
      <c r="L49" s="26" t="inlineStr">
        <is>
          <t>AT27 AT23</t>
        </is>
      </c>
      <c r="M49" s="26" t="inlineStr">
        <is>
          <t>Team lead</t>
        </is>
      </c>
      <c r="N49" s="26" t="inlineStr">
        <is>
          <t>D11; facility approves actual roster and response commitments.</t>
        </is>
      </c>
      <c r="O49" s="26" t="inlineStr">
        <is>
          <t>R11; Baseline §2, §8–9</t>
        </is>
      </c>
    </row>
    <row r="50" ht="72" customHeight="1">
      <c r="A50" s="27" t="inlineStr">
        <is>
          <t>F043</t>
        </is>
      </c>
      <c r="B50" s="27" t="inlineStr">
        <is>
          <t>SG7</t>
        </is>
      </c>
      <c r="C50" s="27" t="n">
        <v>56</v>
      </c>
      <c r="D50" s="27" t="inlineStr">
        <is>
          <t>Pilot release and training</t>
        </is>
      </c>
      <c r="E50" s="27" t="inlineStr">
        <is>
          <t>Team lead; tech lead; doctor; pediatric reviewer; tester</t>
        </is>
      </c>
      <c r="F50" s="27" t="inlineStr">
        <is>
          <t>Demonstrate complete journey, train staff, package setup/support instructions and obtain separate technical, clinical and operating decisions for the candidate release.</t>
        </is>
      </c>
      <c r="G50" s="27" t="inlineStr">
        <is>
          <t>Candidate SHA; baseline versions; test evidence; clinical approvals; training record; support/recovery plan; defects; go/no-go.</t>
        </is>
      </c>
      <c r="H50" s="27" t="inlineStr">
        <is>
          <t>All required stages/shared functions and AT01–AT32 evidenced. Critical/high defects block. Deployment and patient enrolment need authorization; Day 57–60 reserve is for corrections.</t>
        </is>
      </c>
      <c r="I50" s="27" t="inlineStr">
        <is>
          <t>Train on real rural/semi-urban workflows, shared phones, manual fallback and loss/transfer cases.</t>
        </is>
      </c>
      <c r="J50" s="27" t="inlineStr">
        <is>
          <t>Fresh setup and full acceptance pass; three sign-offs identify candidate and approved pilot boundaries.</t>
        </is>
      </c>
      <c r="K50" s="27" t="inlineStr">
        <is>
          <t>M056 M057 M058 M059 M060 M061 M062</t>
        </is>
      </c>
      <c r="L50" s="27" t="inlineStr">
        <is>
          <t>AT01–AT32</t>
        </is>
      </c>
      <c r="M50" s="27" t="inlineStr">
        <is>
          <t>Team lead</t>
        </is>
      </c>
      <c r="N50" s="27" t="inlineStr">
        <is>
          <t>D12; separate clinical, technical and operating sign-offs.</t>
        </is>
      </c>
      <c r="O50" s="27" t="inlineStr">
        <is>
          <t>R10 R11 R12; Baseline §9; Delivery plan SG7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426477"/>
    <outlinePr summaryBelow="1" summaryRight="1"/>
    <pageSetUpPr/>
  </sheetPr>
  <dimension ref="A1:N29"/>
  <sheetViews>
    <sheetView showGridLines="0" workbookViewId="0">
      <pane xSplit="4" ySplit="6" topLeftCell="E7" activePane="bottomRight" state="frozen"/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30" customWidth="1" min="4" max="4"/>
    <col width="58" customWidth="1" min="5" max="5"/>
    <col width="65" customWidth="1" min="6" max="6"/>
    <col width="65" customWidth="1" min="7" max="7"/>
    <col width="59" customWidth="1" min="8" max="8"/>
    <col width="57" customWidth="1" min="9" max="9"/>
    <col width="34" customWidth="1" min="10" max="10"/>
    <col width="28" customWidth="1" min="11" max="11"/>
    <col width="20" customWidth="1" min="12" max="12"/>
    <col width="49" customWidth="1" min="13" max="13"/>
    <col width="35" customWidth="1" min="14" max="14"/>
  </cols>
  <sheetData>
    <row r="1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</row>
    <row r="2" ht="28" customHeight="1">
      <c r="A2" s="18" t="inlineStr">
        <is>
          <t>MatriSathi technical build specifications by gate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</row>
    <row r="3" ht="23" customHeight="1">
      <c r="A3" s="19" t="inlineStr">
        <is>
          <t>Version 1.1 | Filter Gate for the required build scope. Existing task dates/hours remain unchanged. Named approvals are still required.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</row>
    <row r="4">
      <c r="A4" s="19" t="inlineStr">
        <is>
          <t>Gate is the first delivery/verification milestone; controls continue afterward. Open mechanisms and proposed targets need a Decisions tab record.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</row>
    <row r="5">
      <c r="A5" s="19" t="inlineStr">
        <is>
          <t>Sources: MatriSathi_Specifications_Updated.xlsx v2 + MatriSathi_Functional_Technical_Baseline.docx v1.0 (28 Sep 2026), including standalone amendments.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</row>
    <row r="6" ht="35" customHeight="1">
      <c r="A6" s="23" t="inlineStr">
        <is>
          <t>Spec ID</t>
        </is>
      </c>
      <c r="B6" s="23" t="inlineStr">
        <is>
          <t>Gate</t>
        </is>
      </c>
      <c r="C6" s="23" t="inlineStr">
        <is>
          <t>Day</t>
        </is>
      </c>
      <c r="D6" s="23" t="inlineStr">
        <is>
          <t>Component / area</t>
        </is>
      </c>
      <c r="E6" s="23" t="inlineStr">
        <is>
          <t>Implementation requirement</t>
        </is>
      </c>
      <c r="F6" s="23" t="inlineStr">
        <is>
          <t>Data / interface contract</t>
        </is>
      </c>
      <c r="G6" s="23" t="inlineStr">
        <is>
          <t>Controls and constraints</t>
        </is>
      </c>
      <c r="H6" s="23" t="inlineStr">
        <is>
          <t>Failure / exception behavior</t>
        </is>
      </c>
      <c r="I6" s="23" t="inlineStr">
        <is>
          <t>Verification required</t>
        </is>
      </c>
      <c r="J6" s="23" t="inlineStr">
        <is>
          <t>Linked task IDs</t>
        </is>
      </c>
      <c r="K6" s="23" t="inlineStr">
        <is>
          <t>Acceptance cases</t>
        </is>
      </c>
      <c r="L6" s="23" t="inlineStr">
        <is>
          <t>Delivery owner</t>
        </is>
      </c>
      <c r="M6" s="23" t="inlineStr">
        <is>
          <t>Required decision / approval</t>
        </is>
      </c>
      <c r="N6" s="23" t="inlineStr">
        <is>
          <t>Source requirement</t>
        </is>
      </c>
    </row>
    <row r="7" ht="72" customHeight="1">
      <c r="A7" s="26" t="inlineStr">
        <is>
          <t>T001</t>
        </is>
      </c>
      <c r="B7" s="26" t="inlineStr">
        <is>
          <t>SG0</t>
        </is>
      </c>
      <c r="C7" s="26" t="n">
        <v>2</v>
      </c>
      <c r="D7" s="26" t="inlineStr">
        <is>
          <t>Architecture and repository boundary</t>
        </is>
      </c>
      <c r="E7" s="26" t="inlineStr">
        <is>
          <t>Adopt one standalone responsive frontend/backend path and bounded stage delivery. Essential functionality has no dependency on optional AI.</t>
        </is>
      </c>
      <c r="F7" s="26" t="inlineStr">
        <is>
          <t>Proposed React/Vite/TypeScript; FastAPI modular backend; PostgreSQL/Alembic; private object storage; durable worker. Confirm at SG0/SG1.</t>
        </is>
      </c>
      <c r="G7" s="26" t="inlineStr">
        <is>
          <t>Work only in current repository. No other-platform schema, authentication, code or brand dependency. No native app, microservice fleet or websocket requirement.</t>
        </is>
      </c>
      <c r="H7" s="26" t="inlineStr">
        <is>
          <t>If the persisted first slice cannot be proved by SG1, record capacity/date impact rather than silently changing scope.</t>
        </is>
      </c>
      <c r="I7" s="26" t="inlineStr">
        <is>
          <t>Approved architecture record and SG1 real browser persistence proof.</t>
        </is>
      </c>
      <c r="J7" s="26" t="inlineStr">
        <is>
          <t>M001 M002 M004 M006</t>
        </is>
      </c>
      <c r="K7" s="26" t="inlineStr">
        <is>
          <t>AT05 AT31</t>
        </is>
      </c>
      <c r="L7" s="26" t="inlineStr">
        <is>
          <t>Tech lead</t>
        </is>
      </c>
      <c r="M7" s="26" t="inlineStr">
        <is>
          <t>D01 D03 D04; stack is a proposed baseline until adopted.</t>
        </is>
      </c>
      <c r="N7" s="26" t="inlineStr">
        <is>
          <t>R09 amended; Baseline §1, §6</t>
        </is>
      </c>
    </row>
    <row r="8" ht="72" customHeight="1">
      <c r="A8" s="27" t="inlineStr">
        <is>
          <t>T002</t>
        </is>
      </c>
      <c r="B8" s="27" t="inlineStr">
        <is>
          <t>SG1</t>
        </is>
      </c>
      <c r="C8" s="27" t="n">
        <v>7</v>
      </c>
      <c r="D8" s="27" t="inlineStr">
        <is>
          <t>API contracts and validation</t>
        </is>
      </c>
      <c r="E8" s="27" t="inlineStr">
        <is>
          <t>Version APIs and agree request/response schemas before dependent frontend/backend work.</t>
        </is>
      </c>
      <c r="F8" s="27" t="inlineStr">
        <is>
          <t>/api/v1; OpenAPI; consistent error shapes; paging; bounded queries; operation IDs for retryable creates/uploads/effects; entity version on updates.</t>
        </is>
      </c>
      <c r="G8" s="27" t="inlineStr">
        <is>
          <t>Derive organization/facility from current server permissions; never trust client subject/reference IDs. Separate clinical event date from entry time.</t>
        </is>
      </c>
      <c r="H8" s="27" t="inlineStr">
        <is>
          <t>Reject invalid references/versions with actionable errors that do not leak inaccessible record existence.</t>
        </is>
      </c>
      <c r="I8" s="27" t="inlineStr">
        <is>
          <t>Contract tests cover rejected cross-scope references, pagination and correct persisted response.</t>
        </is>
      </c>
      <c r="J8" s="27" t="inlineStr">
        <is>
          <t>M003 M004 M005 M009</t>
        </is>
      </c>
      <c r="K8" s="27" t="inlineStr">
        <is>
          <t>AT02 AT03 AT05</t>
        </is>
      </c>
      <c r="L8" s="27" t="inlineStr">
        <is>
          <t>Tech lead</t>
        </is>
      </c>
      <c r="M8" s="27" t="inlineStr">
        <is>
          <t>D04; tech lead approves concrete contracts by task.</t>
        </is>
      </c>
      <c r="N8" s="27" t="inlineStr">
        <is>
          <t>R02 R09; Baseline §6–7</t>
        </is>
      </c>
    </row>
    <row r="9" ht="72" customHeight="1">
      <c r="A9" s="26" t="inlineStr">
        <is>
          <t>T003</t>
        </is>
      </c>
      <c r="B9" s="26" t="inlineStr">
        <is>
          <t>SG1</t>
        </is>
      </c>
      <c r="C9" s="26" t="n">
        <v>7</v>
      </c>
      <c r="D9" s="26" t="inlineStr">
        <is>
          <t>Core schema and invariants</t>
        </is>
      </c>
      <c r="E9" s="26" t="inlineStr">
        <is>
          <t>Create only first-slice tables initially; add later entities in their assigned stages using reviewed migrations.</t>
        </is>
      </c>
      <c r="F9" s="26" t="inlineStr">
        <is>
          <t>Organization; Facility(org); StaffUser; Membership; Session; Person; ContactMethod; PregnancyEpisode(mother, facility, dating/source, status). Stable IDs; created/updated/version.</t>
        </is>
      </c>
      <c r="G9" s="26" t="inlineStr">
        <is>
          <t>Validate ownership/sharing and foreign keys. Phone is not unique person identity. Use explicit unknown/precision; do not substitute zero, today or assumed normal.</t>
        </is>
      </c>
      <c r="H9" s="26" t="inlineStr">
        <is>
          <t>Reject inaccessible person linking. Keep corrected history and original service/source information.</t>
        </is>
      </c>
      <c r="I9" s="26" t="inlineStr">
        <is>
          <t>Migration from empty DB works; two people share phone; wrong-person reference fails.</t>
        </is>
      </c>
      <c r="J9" s="26" t="inlineStr">
        <is>
          <t>M003 M004 M005</t>
        </is>
      </c>
      <c r="K9" s="26" t="inlineStr">
        <is>
          <t>AT02 AT03 AT05</t>
        </is>
      </c>
      <c r="L9" s="26" t="inlineStr">
        <is>
          <t>Developer</t>
        </is>
      </c>
      <c r="M9" s="26" t="inlineStr">
        <is>
          <t>Tech lead approves Person ownership and migration invariants.</t>
        </is>
      </c>
      <c r="N9" s="26" t="inlineStr">
        <is>
          <t>R02 R09; Baseline §7</t>
        </is>
      </c>
    </row>
    <row r="10" ht="72" customHeight="1">
      <c r="A10" s="27" t="inlineStr">
        <is>
          <t>T004</t>
        </is>
      </c>
      <c r="B10" s="27" t="inlineStr">
        <is>
          <t>SG1</t>
        </is>
      </c>
      <c r="C10" s="27" t="n">
        <v>7</v>
      </c>
      <c r="D10" s="27" t="inlineStr">
        <is>
          <t>Staff authentication and sessions</t>
        </is>
      </c>
      <c r="E10" s="27" t="inlineStr">
        <is>
          <t>Implement staff login, refresh, logout, expiry, account disable and replay handling.</t>
        </is>
      </c>
      <c r="F10" s="27" t="inlineStr">
        <is>
          <t>Unique login; reviewed password hash; short access session; rotated refresh/token identifiers; expiry/revocation/lineage; current membership.</t>
        </is>
      </c>
      <c r="G10" s="27" t="inlineStr">
        <is>
          <t>Generic authentication errors; bounded throttling; no production seed credentials. Document browser token storage, cookie/CSRF protections as applicable.</t>
        </is>
      </c>
      <c r="H10" s="27" t="inlineStr">
        <is>
          <t>Logout, disabled user, revoked membership and refresh replay invalidate subsequent access; no process-local membership cache as authority.</t>
        </is>
      </c>
      <c r="I10" s="27" t="inlineStr">
        <is>
          <t>AT01 with real DB/session behavior plus current-membership enforcement in AT02.</t>
        </is>
      </c>
      <c r="J10" s="27" t="inlineStr">
        <is>
          <t>M003 M005</t>
        </is>
      </c>
      <c r="K10" s="27" t="inlineStr">
        <is>
          <t>AT01 AT02</t>
        </is>
      </c>
      <c r="L10" s="27" t="inlineStr">
        <is>
          <t>Developer</t>
        </is>
      </c>
      <c r="M10" s="27" t="inlineStr">
        <is>
          <t>D04 fixes mechanism, lifetimes and supported versions before build.</t>
        </is>
      </c>
      <c r="N10" s="27" t="inlineStr">
        <is>
          <t>R02 R07; Baseline §8</t>
        </is>
      </c>
    </row>
    <row r="11" ht="72" customHeight="1">
      <c r="A11" s="26" t="inlineStr">
        <is>
          <t>T005</t>
        </is>
      </c>
      <c r="B11" s="26" t="inlineStr">
        <is>
          <t>SG1</t>
        </is>
      </c>
      <c r="C11" s="26" t="n">
        <v>7</v>
      </c>
      <c r="D11" s="26" t="inlineStr">
        <is>
          <t>Authorization and database roles</t>
        </is>
      </c>
      <c r="E11" s="26" t="inlineStr">
        <is>
          <t>Enforce organization, facility, role and subject scope on every read/write/search/link/file/export.</t>
        </is>
      </c>
      <c r="F11" s="26" t="inlineStr">
        <is>
          <t>Central authorization checks plus relational constraints; separate migration-owner and restricted runtime DB credentials.</t>
        </is>
      </c>
      <c r="G11" s="26" t="inlineStr">
        <is>
          <t>No automatic clinical access from admin title. Enforce clinical-only actions and record grants. Denied logs survive business transaction rollback.</t>
        </is>
      </c>
      <c r="H11" s="26" t="inlineStr">
        <is>
          <t>Reject guessed IDs and cross-organization references without exposing record existence. Runtime cannot edit/delete audit history.</t>
        </is>
      </c>
      <c r="I11" s="26" t="inlineStr">
        <is>
          <t>Direct API/search/reference and DB-role tests; membership revoke uses same existing token.</t>
        </is>
      </c>
      <c r="J11" s="26" t="inlineStr">
        <is>
          <t>M003 M005 M010 M018 M041 M050</t>
        </is>
      </c>
      <c r="K11" s="26" t="inlineStr">
        <is>
          <t>AT02 AT03 AT04 AT28 AT32</t>
        </is>
      </c>
      <c r="L11" s="26" t="inlineStr">
        <is>
          <t>Developer</t>
        </is>
      </c>
      <c r="M11" s="26" t="inlineStr">
        <is>
          <t>Tech lead reviews sensitive access changes independently.</t>
        </is>
      </c>
      <c r="N11" s="26" t="inlineStr">
        <is>
          <t>R02 R07; Baseline §2, §7–8</t>
        </is>
      </c>
    </row>
    <row r="12" ht="72" customHeight="1">
      <c r="A12" s="27" t="inlineStr">
        <is>
          <t>T006</t>
        </is>
      </c>
      <c r="B12" s="27" t="inlineStr">
        <is>
          <t>SG1</t>
        </is>
      </c>
      <c r="C12" s="27" t="n">
        <v>7</v>
      </c>
      <c r="D12" s="27" t="inlineStr">
        <is>
          <t>Audit foundation and safe diagnostics</t>
        </is>
      </c>
      <c r="E12" s="27" t="inlineStr">
        <is>
          <t>Capture successful/denied access and important state changes with minimal attributable metadata.</t>
        </is>
      </c>
      <c r="F12" s="27" t="inlineStr">
        <is>
          <t>Actor; UTC system time; entity/action; scoped reference; reason; version/request ID. Clinical event time is separate.</t>
        </is>
      </c>
      <c r="G12" s="27" t="inlineStr">
        <is>
          <t>No patient text, voice, phone numbers, secrets or identifiers in ordinary diagnostics. Restricted audit access; routine users cannot change history.</t>
        </is>
      </c>
      <c r="H12" s="27" t="inlineStr">
        <is>
          <t>Audit for denied operation survives rollback. Privileged maintenance is explicitly controlled; do not claim absolute immutability.</t>
        </is>
      </c>
      <c r="I12" s="27" t="inlineStr">
        <is>
          <t>Exercise denial, success, runtime UPDATE/DELETE and sensitive error path.</t>
        </is>
      </c>
      <c r="J12" s="27" t="inlineStr">
        <is>
          <t>M003 M005 M043</t>
        </is>
      </c>
      <c r="K12" s="27" t="inlineStr">
        <is>
          <t>AT04 AT32</t>
        </is>
      </c>
      <c r="L12" s="27" t="inlineStr">
        <is>
          <t>Developer</t>
        </is>
      </c>
      <c r="M12" s="27" t="inlineStr">
        <is>
          <t>Tech lead approves fields, access and retention with D09.</t>
        </is>
      </c>
      <c r="N12" s="27" t="inlineStr">
        <is>
          <t>R07; Baseline §8</t>
        </is>
      </c>
    </row>
    <row r="13" ht="72" customHeight="1">
      <c r="A13" s="26" t="inlineStr">
        <is>
          <t>T007</t>
        </is>
      </c>
      <c r="B13" s="26" t="inlineStr">
        <is>
          <t>SG1</t>
        </is>
      </c>
      <c r="C13" s="26" t="n">
        <v>7</v>
      </c>
      <c r="D13" s="26" t="inlineStr">
        <is>
          <t>Reproducible setup and CI</t>
        </is>
      </c>
      <c r="E13" s="26" t="inlineStr">
        <is>
          <t>Create locked installs, documented local setup, test fixtures and CI for reviewed shared work.</t>
        </is>
      </c>
      <c r="F13" s="26" t="inlineStr">
        <is>
          <t>Pinned supported runtimes/dependencies; PostgreSQL-backed tests; Python lint/type/tests; frontend lint/type/build; browser smoke; empty-DB migration; secret/dependency checks.</t>
        </is>
      </c>
      <c r="G13" s="26" t="inlineStr">
        <is>
          <t>Synthetic development data only. Separate contributor checkouts/task branches; required review/CI or documented manual equivalent. Existing approval policy applies.</t>
        </is>
      </c>
      <c r="H13" s="26" t="inlineStr">
        <is>
          <t>Failed checks prevent task acceptance; list checks not run. Do not weaken tests to make CI pass.</t>
        </is>
      </c>
      <c r="I13" s="26" t="inlineStr">
        <is>
          <t>Fresh checkout runs documented commands and real persisted UI journey; evidence tied to SHA.</t>
        </is>
      </c>
      <c r="J13" s="26" t="inlineStr">
        <is>
          <t>M002 M004 M006 M059</t>
        </is>
      </c>
      <c r="K13" s="26" t="inlineStr">
        <is>
          <t>AT05</t>
        </is>
      </c>
      <c r="L13" s="26" t="inlineStr">
        <is>
          <t>Developer</t>
        </is>
      </c>
      <c r="M13" s="26" t="inlineStr">
        <is>
          <t>D03 D04; commits/pushes follow recorded human authority.</t>
        </is>
      </c>
      <c r="N13" s="26" t="inlineStr">
        <is>
          <t>R09 R10; Baseline §9; Delivery plan §5</t>
        </is>
      </c>
    </row>
    <row r="14" ht="72" customHeight="1">
      <c r="A14" s="27" t="inlineStr">
        <is>
          <t>T008</t>
        </is>
      </c>
      <c r="B14" s="27" t="inlineStr">
        <is>
          <t>SG2</t>
        </is>
      </c>
      <c r="C14" s="27" t="n">
        <v>14</v>
      </c>
      <c r="D14" s="27" t="inlineStr">
        <is>
          <t>Plans, typed work and state transitions</t>
        </is>
      </c>
      <c r="E14" s="27" t="inlineStr">
        <is>
          <t>Implement distinct clinical-plan, appointment, task, investigation and referral state rules with current owner/version.</t>
        </is>
      </c>
      <c r="F14" s="27" t="inlineStr">
        <is>
          <t>Plan(template version, approver, effective date, exceptions); Task(owner, due, state, reason); Appointment; Investigation; Referral; original files/events.</t>
        </is>
      </c>
      <c r="G14" s="27" t="inlineStr">
        <is>
          <t>Validate each transition and role. Clinical plan activation/review belongs to clinician. Administrative urgency must not become clinical risk scoring.</t>
        </is>
      </c>
      <c r="H14" s="27" t="inlineStr">
        <is>
          <t>Dating/reschedule correction preserves history and cancels superseded future actions/reminders atomically with durable intent as applicable.</t>
        </is>
      </c>
      <c r="I14" s="27" t="inlineStr">
        <is>
          <t>Exercise late dates, missed appointments, upload-not-review, referral closure and stale reminder cancellation.</t>
        </is>
      </c>
      <c r="J14" s="27" t="inlineStr">
        <is>
          <t>M009 M011 M012</t>
        </is>
      </c>
      <c r="K14" s="27" t="inlineStr">
        <is>
          <t>AT06 AT07 AT08 AT09</t>
        </is>
      </c>
      <c r="L14" s="27" t="inlineStr">
        <is>
          <t>Developer</t>
        </is>
      </c>
      <c r="M14" s="27" t="inlineStr">
        <is>
          <t>D05; doctor approves schedule semantics and clinical-only transitions.</t>
        </is>
      </c>
      <c r="N14" s="27" t="inlineStr">
        <is>
          <t>R03 R05; Baseline §5–7</t>
        </is>
      </c>
    </row>
    <row r="15" ht="72" customHeight="1">
      <c r="A15" s="26" t="inlineStr">
        <is>
          <t>T009</t>
        </is>
      </c>
      <c r="B15" s="26" t="inlineStr">
        <is>
          <t>SG2</t>
        </is>
      </c>
      <c r="C15" s="26" t="n">
        <v>14</v>
      </c>
      <c r="D15" s="26" t="inlineStr">
        <is>
          <t>Private uploads and downloads</t>
        </is>
      </c>
      <c r="E15" s="26" t="inlineStr">
        <is>
          <t>Store files privately with authenticated, subject-scoped access and clear upload/receipt states.</t>
        </is>
      </c>
      <c r="F15" s="26" t="inlineStr">
        <is>
          <t>File ID; organization/subject; source; type; size; validated object key; checksum where used; upload status; authorized short-lived download.</t>
        </is>
      </c>
      <c r="G15" s="26" t="inlineStr">
        <is>
          <t>Validate content/type/size; safe filenames; no public record bucket or long-lived public clinical URL. Shared-phone links need subject authorization.</t>
        </is>
      </c>
      <c r="H15" s="26" t="inlineStr">
        <is>
          <t>Unsupported/failed upload remains failed with fallback; expired/revoked/unauthorized downloads fail.</t>
        </is>
      </c>
      <c r="I15" s="26" t="inlineStr">
        <is>
          <t>Report/media upload plus guessed ID, expired link and unsupported-type tests.</t>
        </is>
      </c>
      <c r="J15" s="26" t="inlineStr">
        <is>
          <t>M009 M012 M018 M020 M043</t>
        </is>
      </c>
      <c r="K15" s="26" t="inlineStr">
        <is>
          <t>AT08 AT13 AT22 AT32</t>
        </is>
      </c>
      <c r="L15" s="26" t="inlineStr">
        <is>
          <t>Developer</t>
        </is>
      </c>
      <c r="M15" s="26" t="inlineStr">
        <is>
          <t>Tech lead chooses reviewed file limits and access mechanism.</t>
        </is>
      </c>
      <c r="N15" s="26" t="inlineStr">
        <is>
          <t>R01 R07; Baseline §8</t>
        </is>
      </c>
    </row>
    <row r="16" ht="72" customHeight="1">
      <c r="A16" s="27" t="inlineStr">
        <is>
          <t>T010</t>
        </is>
      </c>
      <c r="B16" s="27" t="inlineStr">
        <is>
          <t>SG2</t>
        </is>
      </c>
      <c r="C16" s="27" t="n">
        <v>14</v>
      </c>
      <c r="D16" s="27" t="inlineStr">
        <is>
          <t>Patient and delegated access contract</t>
        </is>
      </c>
      <c r="E16" s="27" t="inlineStr">
        <is>
          <t>Specify identity verification, recovery, session and grant behavior before building patient access.</t>
        </is>
      </c>
      <c r="F16" s="27" t="inlineStr">
        <is>
          <t>Person/subject session; verifier/evidence; CaregiverGrant(subject, grantee, scope, grantor, expiry, revocation); child authority extends at SG4/SG5.</t>
        </is>
      </c>
      <c r="G16" s="27" t="inlineStr">
        <is>
          <t>Phone possession is not authorization. Verify current grant on record, search and download; protect shared-device sessions.</t>
        </is>
      </c>
      <c r="H16" s="27" t="inlineStr">
        <is>
          <t>Ambiguous identity stays restricted. Number changes never silently transfer access. Revocation denies next authorized request.</t>
        </is>
      </c>
      <c r="I16" s="27" t="inlineStr">
        <is>
          <t>Two women/one phone, another handset user, caregiver revoke and unverified guardian tests.</t>
        </is>
      </c>
      <c r="J16" s="27" t="inlineStr">
        <is>
          <t>M010 M013 M034 M037</t>
        </is>
      </c>
      <c r="K16" s="27" t="inlineStr">
        <is>
          <t>AT28 AT29 AT22</t>
        </is>
      </c>
      <c r="L16" s="27" t="inlineStr">
        <is>
          <t>Tech lead</t>
        </is>
      </c>
      <c r="M16" s="27" t="inlineStr">
        <is>
          <t>D07 is a blocking design decision; mechanism not pre-approved.</t>
        </is>
      </c>
      <c r="N16" s="27" t="inlineStr">
        <is>
          <t>R02 R07; Baseline §2, §7–8</t>
        </is>
      </c>
    </row>
    <row r="17" ht="72" customHeight="1">
      <c r="A17" s="26" t="inlineStr">
        <is>
          <t>T011</t>
        </is>
      </c>
      <c r="B17" s="26" t="inlineStr">
        <is>
          <t>SG3</t>
        </is>
      </c>
      <c r="C17" s="26" t="n">
        <v>21</v>
      </c>
      <c r="D17" s="26" t="inlineStr">
        <is>
          <t>Provider adapter and authenticated callbacks</t>
        </is>
      </c>
      <c r="E17" s="26" t="inlineStr">
        <is>
          <t>Use one official WhatsApp provider behind an adapter; verify current rules during setup.</t>
        </is>
      </c>
      <c r="F17" s="26" t="inlineStr">
        <is>
          <t>Outbound template send; provider IDs/status mapping; signature-verified webhook; inbound text/audio/photo; normalized status and error events.</t>
        </is>
      </c>
      <c r="G17" s="26" t="inlineStr">
        <is>
          <t>Keep credentials server-side; validate callback signature and deduplicate provider event IDs. Restrict unlinked media/message queue.</t>
        </is>
      </c>
      <c r="H17" s="26" t="inlineStr">
        <is>
          <t>Out-of-order/duplicate callbacks cannot create duplicate business effects or regress terminal status incorrectly; uncertain delivery requires reconciliation.</t>
        </is>
      </c>
      <c r="I17" s="26" t="inlineStr">
        <is>
          <t>Real test handset receipt and real inbound media; reject invalid webhook; replay callback without duplicate work.</t>
        </is>
      </c>
      <c r="J17" s="26" t="inlineStr">
        <is>
          <t>M017 M018 M019 M020 M024</t>
        </is>
      </c>
      <c r="K17" s="26" t="inlineStr">
        <is>
          <t>AT11 AT12 AT13</t>
        </is>
      </c>
      <c r="L17" s="26" t="inlineStr">
        <is>
          <t>Developer</t>
        </is>
      </c>
      <c r="M17" s="26" t="inlineStr">
        <is>
          <t>D06; provider onboarding, template approval and media rules verified.</t>
        </is>
      </c>
      <c r="N17" s="26" t="inlineStr">
        <is>
          <t>R01 R10; Baseline §5, §8</t>
        </is>
      </c>
    </row>
    <row r="18" ht="72" customHeight="1">
      <c r="A18" s="27" t="inlineStr">
        <is>
          <t>T012</t>
        </is>
      </c>
      <c r="B18" s="27" t="inlineStr">
        <is>
          <t>SG3</t>
        </is>
      </c>
      <c r="C18" s="27" t="n">
        <v>21</v>
      </c>
      <c r="D18" s="27" t="inlineStr">
        <is>
          <t>Durable jobs and send eligibility</t>
        </is>
      </c>
      <c r="E18" s="27" t="inlineStr">
        <is>
          <t>Persist intent with business change and process with durable claims/leases, bounded retries and an owned failure queue.</t>
        </is>
      </c>
      <c r="F18" s="27" t="inlineStr">
        <is>
          <t>Job/outbox ID; operation key; subject/recipient; content/plan version; eligibility; scheduled time; lease; attempts; provider ID; terminal reason.</t>
        </is>
      </c>
      <c r="G18" s="27" t="inlineStr">
        <is>
          <t>Before sending recheck current permission, recipient, plan, content and pause. Correctness cannot depend on in-memory jobs or counters.</t>
        </is>
      </c>
      <c r="H18" s="27" t="inlineStr">
        <is>
          <t>Worker crash/retry cannot repeat effect. Unknown provider acceptance is reconciled rather than blind resend. Cancel obsolete intent; retain audit/failure owner.</t>
        </is>
      </c>
      <c r="I18" s="27" t="inlineStr">
        <is>
          <t>Duplicate callback/job, timeout and worker restart tests at SG3; two-worker/crash suite at SG5.</t>
        </is>
      </c>
      <c r="J18" s="27" t="inlineStr">
        <is>
          <t>M017 M019 M044</t>
        </is>
      </c>
      <c r="K18" s="27" t="inlineStr">
        <is>
          <t>AT12 AT30</t>
        </is>
      </c>
      <c r="L18" s="27" t="inlineStr">
        <is>
          <t>Developer</t>
        </is>
      </c>
      <c r="M18" s="27" t="inlineStr">
        <is>
          <t>Tech lead approves retry/lease/timeout/reconciliation policy.</t>
        </is>
      </c>
      <c r="N18" s="27" t="inlineStr">
        <is>
          <t>R01 R10; Baseline §6, §8</t>
        </is>
      </c>
    </row>
    <row r="19" ht="72" customHeight="1">
      <c r="A19" s="26" t="inlineStr">
        <is>
          <t>T013</t>
        </is>
      </c>
      <c r="B19" s="26" t="inlineStr">
        <is>
          <t>SG3</t>
        </is>
      </c>
      <c r="C19" s="26" t="n">
        <v>21</v>
      </c>
      <c r="D19" s="26" t="inlineStr">
        <is>
          <t>Messaging privacy and operating limits</t>
        </is>
      </c>
      <c r="E19" s="26" t="inlineStr">
        <is>
          <t>Apply safe timing/detail/language and channel opt-out consistently to outbound jobs and staff responses.</t>
        </is>
      </c>
      <c r="F19" s="26" t="inlineStr">
        <is>
          <t>Contact preference/version; template/language/content version; consent state; send eligibility result; failure/callback owner.</t>
        </is>
      </c>
      <c r="G19" s="26" t="inlineStr">
        <is>
          <t>No sensitive payloads in logs or evidence. Voice/media stays private. Provider delivery and clinician review are separate states.</t>
        </is>
      </c>
      <c r="H19" s="26" t="inlineStr">
        <is>
          <t>Unsupported media or opt-out routes to appropriate human fallback. Never promise 24/7 monitoring through automated acknowledgement.</t>
        </is>
      </c>
      <c r="I19" s="26" t="inlineStr">
        <is>
          <t>Queued opt-out, safe-time change, ambiguous sender, log redaction and denied media access.</t>
        </is>
      </c>
      <c r="J19" s="26" t="inlineStr">
        <is>
          <t>M018 M020 M021 M022</t>
        </is>
      </c>
      <c r="K19" s="26" t="inlineStr">
        <is>
          <t>AT13 AT14 AT28 AT32</t>
        </is>
      </c>
      <c r="L19" s="26" t="inlineStr">
        <is>
          <t>Developer</t>
        </is>
      </c>
      <c r="M19" s="26" t="inlineStr">
        <is>
          <t>Doctor approves patient wording; facility approves staffed response hours.</t>
        </is>
      </c>
      <c r="N19" s="26" t="inlineStr">
        <is>
          <t>R01 R02 R07 R11; Baseline §2, §5</t>
        </is>
      </c>
    </row>
    <row r="20" ht="72" customHeight="1">
      <c r="A20" s="27" t="inlineStr">
        <is>
          <t>T014</t>
        </is>
      </c>
      <c r="B20" s="27" t="inlineStr">
        <is>
          <t>SG4</t>
        </is>
      </c>
      <c r="C20" s="27" t="n">
        <v>28</v>
      </c>
      <c r="D20" s="27" t="inlineStr">
        <is>
          <t>Birth, child and event data integrity</t>
        </is>
      </c>
      <c r="E20" s="27" t="inlineStr">
        <is>
          <t>Add child relationships and subject-specific outcome/discharge/readmission events without a mandatory fabricated pregnancy.</t>
        </is>
      </c>
      <c r="F20" s="27" t="inlineStr">
        <is>
          <t>Child with Person ID; optional known episode; explicit mother/guardian relationships; per-subject birth/outcome/discharge/transfer events; source and date precision.</t>
        </is>
      </c>
      <c r="G20" s="27" t="inlineStr">
        <is>
          <t>If a record can target episode or child, require exactly one valid subject with correct scope. Separate child and maternal lifecycle.</t>
        </is>
      </c>
      <c r="H20" s="27" t="inlineStr">
        <is>
          <t>Updating one twin must not affect sibling; unknown dates remain unknown; readmission never erases prior discharge.</t>
        </is>
      </c>
      <c r="I20" s="27" t="inlineStr">
        <is>
          <t>Twins, independent discharge, existing child without episode and wrong-subject link tests.</t>
        </is>
      </c>
      <c r="J20" s="27" t="inlineStr">
        <is>
          <t>M025 M027 M029</t>
        </is>
      </c>
      <c r="K20" s="27" t="inlineStr">
        <is>
          <t>AT15 AT16 AT29</t>
        </is>
      </c>
      <c r="L20" s="27" t="inlineStr">
        <is>
          <t>Developer</t>
        </is>
      </c>
      <c r="M20" s="27" t="inlineStr">
        <is>
          <t>Doctor/pediatric reviewer approves event meaning; tech lead reviews constraints.</t>
        </is>
      </c>
      <c r="N20" s="27" t="inlineStr">
        <is>
          <t>R02 R04; Baseline §4, §7</t>
        </is>
      </c>
    </row>
    <row r="21" ht="72" customHeight="1">
      <c r="A21" s="26" t="inlineStr">
        <is>
          <t>T015</t>
        </is>
      </c>
      <c r="B21" s="26" t="inlineStr">
        <is>
          <t>SG4</t>
        </is>
      </c>
      <c r="C21" s="26" t="n">
        <v>28</v>
      </c>
      <c r="D21" s="26" t="inlineStr">
        <is>
          <t>Loss pause and transfer consistency</t>
        </is>
      </c>
      <c r="E21" s="26" t="inlineStr">
        <is>
          <t>Make reported-loss pause and handover changes safe under concurrent workers and user updates.</t>
        </is>
      </c>
      <c r="F21" s="26" t="inlineStr">
        <is>
          <t>Subject-scoped pause/reason/version; final send check; outcome confirmation; transfer scope; receiving owner/acceptance; pending tasks.</t>
        </is>
      </c>
      <c r="G21" s="26" t="inlineStr">
        <is>
          <t>Pause is protective before confirmation. Preserve appropriate maternal/sibling work. Sharing must be authorized, not inferred from new facility.</t>
        </is>
      </c>
      <c r="H21" s="26" t="inlineStr">
        <is>
          <t>Record in-flight provider limit. No silent closure on transfer; concurrent edits use versions/transaction boundaries and require reconciliation.</t>
        </is>
      </c>
      <c r="I21" s="26" t="inlineStr">
        <is>
          <t>Queue/claim/pause race; one-twin loss; mother/child transfer to different sites; pending receiving acceptance.</t>
        </is>
      </c>
      <c r="J21" s="26" t="inlineStr">
        <is>
          <t>M026 M028 M032</t>
        </is>
      </c>
      <c r="K21" s="26" t="inlineStr">
        <is>
          <t>AT17 AT18 AT12</t>
        </is>
      </c>
      <c r="L21" s="26" t="inlineStr">
        <is>
          <t>Developer</t>
        </is>
      </c>
      <c r="M21" s="26" t="inlineStr">
        <is>
          <t>Doctor approves outcome communication; tech lead approves concurrency design.</t>
        </is>
      </c>
      <c r="N21" s="26" t="inlineStr">
        <is>
          <t>R04 R10; Baseline §4, §8</t>
        </is>
      </c>
    </row>
    <row r="22" ht="72" customHeight="1">
      <c r="A22" s="27" t="inlineStr">
        <is>
          <t>T016</t>
        </is>
      </c>
      <c r="B22" s="27" t="inlineStr">
        <is>
          <t>SG5</t>
        </is>
      </c>
      <c r="C22" s="27" t="n">
        <v>42</v>
      </c>
      <c r="D22" s="27" t="inlineStr">
        <is>
          <t>Offline drafts and sync contract</t>
        </is>
      </c>
      <c r="E22" s="27" t="inlineStr">
        <is>
          <t>Limit offline storage and changes to approved visit drafts for assigned caseloads on approved devices.</t>
        </is>
      </c>
      <c r="F22" s="27" t="inlineStr">
        <is>
          <t>Operation ID; subject authorization; base record version; allowed payload; event/source date; pending/failed/synced state; conflict response.</t>
        </is>
      </c>
      <c r="G22" s="27" t="inlineStr">
        <is>
          <t>No offline clinical-plan/discharge approval. Recheck current authorization at sync. Define local storage, retention and logout cleanup without losing unsent work silently.</t>
        </is>
      </c>
      <c r="H22" s="27" t="inlineStr">
        <is>
          <t>Retry is idempotent; stale version never overwrites current clinical plan. Show conflicts and pending drafts for authorized resolution.</t>
        </is>
      </c>
      <c r="I22" s="27" t="inlineStr">
        <is>
          <t>Offline draft, online change, repeated sync, revoked worker, logout/cleanup and weak-device tests.</t>
        </is>
      </c>
      <c r="J22" s="27" t="inlineStr">
        <is>
          <t>M033 M036 M040</t>
        </is>
      </c>
      <c r="K22" s="27" t="inlineStr">
        <is>
          <t>AT20 AT24</t>
        </is>
      </c>
      <c r="L22" s="27" t="inlineStr">
        <is>
          <t>Developer</t>
        </is>
      </c>
      <c r="M22" s="27" t="inlineStr">
        <is>
          <t>Tech lead approves device/local data rules and conflict UX.</t>
        </is>
      </c>
      <c r="N22" s="27" t="inlineStr">
        <is>
          <t>R08; Baseline §5</t>
        </is>
      </c>
    </row>
    <row r="23" ht="72" customHeight="1">
      <c r="A23" s="26" t="inlineStr">
        <is>
          <t>T017</t>
        </is>
      </c>
      <c r="B23" s="26" t="inlineStr">
        <is>
          <t>SG5</t>
        </is>
      </c>
      <c r="C23" s="26" t="n">
        <v>42</v>
      </c>
      <c r="D23" s="26" t="inlineStr">
        <is>
          <t>Content lifecycle and cache control</t>
        </is>
      </c>
      <c r="E23" s="26" t="inlineStr">
        <is>
          <t>Store approved matching text/audio versions and prevent new distribution of withdrawn or expired content.</t>
        </is>
      </c>
      <c r="F23" s="26" t="inlineStr">
        <is>
          <t>Content topic/stage/language/version; source; approver/review date; publish/withdraw state; public-cache expiry; link version.</t>
        </is>
      </c>
      <c r="G23" s="26" t="inlineStr">
        <is>
          <t>Only public education may be cached under policy; patient records excluded. Recheck current eligibility when scheduled content sends.</t>
        </is>
      </c>
      <c r="H23" s="26" t="inlineStr">
        <is>
          <t>Invalidate withdrawn links/queued messages. Offline public copies may persist until approved expiry; document limit and refresh indication.</t>
        </is>
      </c>
      <c r="I23" s="26" t="inlineStr">
        <is>
          <t>Withdraw version, follow old link and test previously cached public audio under stated expiry policy.</t>
        </is>
      </c>
      <c r="J23" s="26" t="inlineStr">
        <is>
          <t>M034 M037 M038 M047</t>
        </is>
      </c>
      <c r="K23" s="26" t="inlineStr">
        <is>
          <t>AT21 AT14</t>
        </is>
      </c>
      <c r="L23" s="26" t="inlineStr">
        <is>
          <t>Developer</t>
        </is>
      </c>
      <c r="M23" s="26" t="inlineStr">
        <is>
          <t>Clinical/language review plus tech lead-approved expiry and invalidation.</t>
        </is>
      </c>
      <c r="N23" s="26" t="inlineStr">
        <is>
          <t>R06 R08; Baseline §5</t>
        </is>
      </c>
    </row>
    <row r="24" ht="72" customHeight="1">
      <c r="A24" s="27" t="inlineStr">
        <is>
          <t>T018</t>
        </is>
      </c>
      <c r="B24" s="27" t="inlineStr">
        <is>
          <t>SG5</t>
        </is>
      </c>
      <c r="C24" s="27" t="n">
        <v>42</v>
      </c>
      <c r="D24" s="27" t="inlineStr">
        <is>
          <t>Rights, exports and audit views</t>
        </is>
      </c>
      <c r="E24" s="27" t="inlineStr">
        <is>
          <t>Implement scoped request workflow, safe care-record exports and authorized audit inspection.</t>
        </is>
      </c>
      <c r="F24" s="27" t="inlineStr">
        <is>
          <t>Rights request(type, subject, authority, owner, status, outcome); export scope; audit filters; retention review decision.</t>
        </is>
      </c>
      <c r="G24" s="27" t="inlineStr">
        <is>
          <t>Neutralize spreadsheet formula-like user input in exports; authorized downloads only. No automatic clinical record deletion or public vaccine certificate claim.</t>
        </is>
      </c>
      <c r="H24" s="27" t="inlineStr">
        <is>
          <t>Revocation/expiry blocks export retrieval; logging avoids sensitive values; request failures retain owner and visible state.</t>
        </is>
      </c>
      <c r="I24" s="27" t="inlineStr">
        <is>
          <t>Correction/export/deletion-review/grievance cases; guessed file; formula-like cell; sensitive logs.</t>
        </is>
      </c>
      <c r="J24" s="27" t="inlineStr">
        <is>
          <t>M043 M048</t>
        </is>
      </c>
      <c r="K24" s="27" t="inlineStr">
        <is>
          <t>AT22 AT32 AT04</t>
        </is>
      </c>
      <c r="L24" s="27" t="inlineStr">
        <is>
          <t>Developer</t>
        </is>
      </c>
      <c r="M24" s="27" t="inlineStr">
        <is>
          <t>D09; facility determines retention/legal basis before live use.</t>
        </is>
      </c>
      <c r="N24" s="27" t="inlineStr">
        <is>
          <t>R07 R10; Baseline §5, §8</t>
        </is>
      </c>
    </row>
    <row r="25" ht="72" customHeight="1">
      <c r="A25" s="26" t="inlineStr">
        <is>
          <t>T019</t>
        </is>
      </c>
      <c r="B25" s="26" t="inlineStr">
        <is>
          <t>SG5</t>
        </is>
      </c>
      <c r="C25" s="26" t="n">
        <v>42</v>
      </c>
      <c r="D25" s="26" t="inlineStr">
        <is>
          <t>Operations, observability and cost</t>
        </is>
      </c>
      <c r="E25" s="26" t="inlineStr">
        <is>
          <t>Provide actionable queue/health metrics, last update, pause controls and reviewed cost limits.</t>
        </is>
      </c>
      <c r="F25" s="26" t="inlineStr">
        <is>
          <t>Backlog by type/owner; job/failure/uncertain states; worker health; restricted logs; provider cost source; INR budget/alert/stop limits; audit.</t>
        </is>
      </c>
      <c r="G25" s="26" t="inlineStr">
        <is>
          <t>Metrics are administrative. Define denominator/time basis. Restrict bulk pause/resume; no process-local correctness. Use bounded queries and pagination.</t>
        </is>
      </c>
      <c r="H25" s="26" t="inlineStr">
        <is>
          <t>Alert assigned operator for stopped worker/failures; no false success on failed record receipt. Cost stop prevents further affected sends and leaves owned work.</t>
        </is>
      </c>
      <c r="I25" s="26" t="inlineStr">
        <is>
          <t>Queue, restart, duplicate-effect, stale-data and cost-control rehearsal with synthetic events.</t>
        </is>
      </c>
      <c r="J25" s="26" t="inlineStr">
        <is>
          <t>M041 M044 M046</t>
        </is>
      </c>
      <c r="K25" s="26" t="inlineStr">
        <is>
          <t>AT23 AT30 AT31</t>
        </is>
      </c>
      <c r="L25" s="26" t="inlineStr">
        <is>
          <t>Developer</t>
        </is>
      </c>
      <c r="M25" s="26" t="inlineStr">
        <is>
          <t>D10 selects thresholds/budget; facility owns operational response.</t>
        </is>
      </c>
      <c r="N25" s="26" t="inlineStr">
        <is>
          <t>R10 R11 R12; Baseline §8</t>
        </is>
      </c>
    </row>
    <row r="26" ht="72" customHeight="1">
      <c r="A26" s="27" t="inlineStr">
        <is>
          <t>T020</t>
        </is>
      </c>
      <c r="B26" s="27" t="inlineStr">
        <is>
          <t>SG5</t>
        </is>
      </c>
      <c r="C26" s="27" t="n">
        <v>42</v>
      </c>
      <c r="D26" s="27" t="inlineStr">
        <is>
          <t>Release configuration and vendor review</t>
        </is>
      </c>
      <c r="E26" s="27" t="inlineStr">
        <is>
          <t>Prepare separate local/staging/production configuration, secret handling, deployment steps and vendor/data-flow review.</t>
        </is>
      </c>
      <c r="F26" s="27" t="inlineStr">
        <is>
          <t>Environment config; secret references; migration version; dependency locks; object store; worker config; backup plan; vendor inventory.</t>
        </is>
      </c>
      <c r="G26" s="27" t="inlineStr">
        <is>
          <t>No real patient data in development/CI/evidence. Encryption in transit/at rest; restricted access. Hosting location is a policy decision, not a legal certification.</t>
        </is>
      </c>
      <c r="H26" s="27" t="inlineStr">
        <is>
          <t>Record service-unavailable fallback; deployments need authorization. Privacy/retention/vendor gaps block live enrolment.</t>
        </is>
      </c>
      <c r="I26" s="27" t="inlineStr">
        <is>
          <t>Document reviewed configuration and reproducible release procedure; later recovery drill proves operability.</t>
        </is>
      </c>
      <c r="J26" s="27" t="inlineStr">
        <is>
          <t>M042 M046 M056</t>
        </is>
      </c>
      <c r="K26" s="27" t="inlineStr">
        <is>
          <t>AT05 AT25 AT32</t>
        </is>
      </c>
      <c r="L26" s="27" t="inlineStr">
        <is>
          <t>Tech lead</t>
        </is>
      </c>
      <c r="M26" s="27" t="inlineStr">
        <is>
          <t>D09 D10; applicable pilot-date review and cost approval.</t>
        </is>
      </c>
      <c r="N26" s="27" t="inlineStr">
        <is>
          <t>R07 R10; Baseline §8</t>
        </is>
      </c>
    </row>
    <row r="27" ht="72" customHeight="1">
      <c r="A27" s="26" t="inlineStr">
        <is>
          <t>T021</t>
        </is>
      </c>
      <c r="B27" s="26" t="inlineStr">
        <is>
          <t>SG6</t>
        </is>
      </c>
      <c r="C27" s="26" t="n">
        <v>49</v>
      </c>
      <c r="D27" s="26" t="inlineStr">
        <is>
          <t>Backup, restore and rollback</t>
        </is>
      </c>
      <c r="E27" s="26" t="inlineStr">
        <is>
          <t>Restore records, media and necessary configuration in isolated staging and reconcile audit/pending jobs. Rehearse application and migration-compatible rollback.</t>
        </is>
      </c>
      <c r="F27" s="26" t="inlineStr">
        <is>
          <t>Backup timestamps; source versions; integrity checks; restore start/end; pending jobs/provider acceptance; rollback steps; operator.</t>
        </is>
      </c>
      <c r="G27" s="26" t="inlineStr">
        <is>
          <t>Proposed RPO ≤24h and RTO ≤4h need approval and measured proof. Protect backups and secrets. Do not assume code rollback reverses destructive schema changes.</t>
        </is>
      </c>
      <c r="H27" s="26" t="inlineStr">
        <is>
          <t>Recovery must not resend provider-accepted messages or lose pending ownership. Failed drill blocks release until corrected.</t>
        </is>
      </c>
      <c r="I27" s="26" t="inlineStr">
        <is>
          <t>Timed restore and rollback with integrity, access, audit and message reconciliation evidence.</t>
        </is>
      </c>
      <c r="J27" s="26" t="inlineStr">
        <is>
          <t>M049 M052 M055 M056</t>
        </is>
      </c>
      <c r="K27" s="26" t="inlineStr">
        <is>
          <t>AT25</t>
        </is>
      </c>
      <c r="L27" s="26" t="inlineStr">
        <is>
          <t>Tech lead</t>
        </is>
      </c>
      <c r="M27" s="26" t="inlineStr">
        <is>
          <t>D10 approves targets; tester independently records drill evidence.</t>
        </is>
      </c>
      <c r="N27" s="26" t="inlineStr">
        <is>
          <t>R10; Baseline §8</t>
        </is>
      </c>
    </row>
    <row r="28" ht="72" customHeight="1">
      <c r="A28" s="27" t="inlineStr">
        <is>
          <t>T022</t>
        </is>
      </c>
      <c r="B28" s="27" t="inlineStr">
        <is>
          <t>SG6</t>
        </is>
      </c>
      <c r="C28" s="27" t="n">
        <v>49</v>
      </c>
      <c r="D28" s="27" t="inlineStr">
        <is>
          <t>Load, weak network and accessibility</t>
        </is>
      </c>
      <c r="E28" s="27" t="inlineStr">
        <is>
          <t>Test the agreed pilot profile and actual low-end devices; measure errors as well as latency.</t>
        </is>
      </c>
      <c r="F28" s="27" t="inlineStr">
        <is>
          <t>100 synthetic records; 10 concurrent staff; 200 scheduled messages/day; recorded network/run duration; p95 core non-media latency; retry/duplicate counts.</t>
        </is>
      </c>
      <c r="G28" s="27" t="inlineStr">
        <is>
          <t>Proposed p95 ≤3 seconds under agreed network. Media tested separately. Targets are project assumptions, not certification of future scale.</t>
        </is>
      </c>
      <c r="H28" s="27" t="inlineStr">
        <is>
          <t>Weak-network failures show pending/error and recover without duplicate effects. Large text/audio/help tasks remain usable.</t>
        </is>
      </c>
      <c r="I28" s="27" t="inlineStr">
        <is>
          <t>AT26 measured run plus six-user AT24 evidence; document conditions, defects and retests.</t>
        </is>
      </c>
      <c r="J28" s="27" t="inlineStr">
        <is>
          <t>M049 M051 M053 M055</t>
        </is>
      </c>
      <c r="K28" s="27" t="inlineStr">
        <is>
          <t>AT24 AT26</t>
        </is>
      </c>
      <c r="L28" s="27" t="inlineStr">
        <is>
          <t>Tech lead</t>
        </is>
      </c>
      <c r="M28" s="27" t="inlineStr">
        <is>
          <t>D10 and tester approve profile; doctor assesses comprehension.</t>
        </is>
      </c>
      <c r="N28" s="27" t="inlineStr">
        <is>
          <t>R08 R12; Baseline §8</t>
        </is>
      </c>
    </row>
    <row r="29" ht="72" customHeight="1">
      <c r="A29" s="26" t="inlineStr">
        <is>
          <t>T023</t>
        </is>
      </c>
      <c r="B29" s="26" t="inlineStr">
        <is>
          <t>SG7</t>
        </is>
      </c>
      <c r="C29" s="26" t="n">
        <v>56</v>
      </c>
      <c r="D29" s="26" t="inlineStr">
        <is>
          <t>Release evidence and change control</t>
        </is>
      </c>
      <c r="E29" s="26" t="inlineStr">
        <is>
          <t>Tie mandatory tests, content approvals, setup and operational sign-offs to one candidate SHA.</t>
        </is>
      </c>
      <c r="F29" s="26" t="inlineStr">
        <is>
          <t>Baseline/version; M/F/T/AT mapping; CI and demo evidence; doctor feedback; open defects; reviewer; release/rollback plan; authorization.</t>
        </is>
      </c>
      <c r="G29" s="26" t="inlineStr">
        <is>
          <t>No critical/high open defects. No gate auto-passes from task counts. Evidence reuse requires affected-code assessment. Keep patient data/secrets out of reports.</t>
        </is>
      </c>
      <c r="H29" s="26" t="inlineStr">
        <is>
          <t>Failed mandatory check holds affected release. Days 57–60 are correction reserve; new features need re-estimation.</t>
        </is>
      </c>
      <c r="I29" s="26" t="inlineStr">
        <is>
          <t>Fresh setup, all AT01–AT32 current, independent review and separate technical/clinical/operating sign-offs.</t>
        </is>
      </c>
      <c r="J29" s="26" t="inlineStr">
        <is>
          <t>M056 M057 M058 M059 M060 M061 M062</t>
        </is>
      </c>
      <c r="K29" s="26" t="inlineStr">
        <is>
          <t>AT01–AT32</t>
        </is>
      </c>
      <c r="L29" s="26" t="inlineStr">
        <is>
          <t>Tech lead</t>
        </is>
      </c>
      <c r="M29" s="26" t="inlineStr">
        <is>
          <t>D12; team authorizes deployment/enrolment separately.</t>
        </is>
      </c>
      <c r="N29" s="26" t="inlineStr">
        <is>
          <t>R10–R12; Baseline §9; Delivery plan SG7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2026-09-30T10:05:03Z</dcterms:created>
  <dcterms:modified xsi:type="dcterms:W3CDTF">2026-09-30T10:05:03Z</dcterms:modified>
</cp:coreProperties>
</file>